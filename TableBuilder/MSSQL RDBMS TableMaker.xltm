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/>
  <mc:AlternateContent xmlns:mc="http://schemas.openxmlformats.org/markup-compatibility/2006">
    <mc:Choice Requires="x15">
      <x15ac:absPath xmlns:x15ac="http://schemas.microsoft.com/office/spreadsheetml/2010/11/ac" url="C:\Users\DaveBabler\OneDrive - Millennial Specialty Insurance LLC\Documents\Custom Office Templates\"/>
    </mc:Choice>
  </mc:AlternateContent>
  <xr:revisionPtr revIDLastSave="0" documentId="8_{16433269-801B-4A9A-A9A1-A4EC838A8999}" xr6:coauthVersionLast="47" xr6:coauthVersionMax="47" xr10:uidLastSave="{00000000-0000-0000-0000-000000000000}"/>
  <bookViews>
    <workbookView xWindow="-120" yWindow="-120" windowWidth="29040" windowHeight="15690" activeTab="1" xr2:uid="{FA6F4F6F-4657-44FA-8514-EB29DB4463E4}"/>
  </bookViews>
  <sheets>
    <sheet name="Instructions" sheetId="3" r:id="rId1"/>
    <sheet name="Table Builder" sheetId="1" r:id="rId2"/>
    <sheet name="For Babler, Ignore" sheetId="4" r:id="rId3"/>
    <sheet name="FK Maker" sheetId="8" r:id="rId4"/>
    <sheet name="DataDictionaryBuilder" sheetId="6" r:id="rId5"/>
    <sheet name="Lists" sheetId="2" r:id="rId6"/>
    <sheet name="Utilities" sheetId="7" r:id="rId7"/>
    <sheet name="Code" sheetId="5" r:id="rId8"/>
  </sheets>
  <externalReferences>
    <externalReference r:id="rId9"/>
  </externalReferences>
  <definedNames>
    <definedName name="_xlnm._FilterDatabase" localSheetId="5" hidden="1">Lists!$A$1:$A$14</definedName>
    <definedName name="AcceptableDataTypes">Lists!$A$2:$A$15</definedName>
    <definedName name="Actions" localSheetId="3">[1]Utilities!$A$1:$A$3</definedName>
    <definedName name="Actions">Utilities!$A$1:$A$3</definedName>
    <definedName name="NULLOK">Lists!$B$2:$B$3</definedName>
    <definedName name="YESNO">Lists!$C$2:$C$3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6" l="1"/>
  <c r="B27" i="6"/>
  <c r="B28" i="6"/>
  <c r="B29" i="6"/>
  <c r="B30" i="6"/>
  <c r="B31" i="6"/>
  <c r="B32" i="6"/>
  <c r="B33" i="6"/>
  <c r="B34" i="6"/>
  <c r="B35" i="6"/>
  <c r="B36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4" i="6"/>
  <c r="I2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B2" i="6"/>
  <c r="I5" i="4"/>
  <c r="I6" i="4"/>
  <c r="I7" i="4"/>
  <c r="I8" i="4"/>
  <c r="I9" i="4"/>
  <c r="I10" i="4"/>
  <c r="I11" i="4"/>
  <c r="I13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4" i="4"/>
  <c r="I3" i="8"/>
  <c r="M3" i="8" s="1"/>
  <c r="H3" i="8"/>
  <c r="L3" i="8" s="1"/>
  <c r="G3" i="8"/>
  <c r="K3" i="8" s="1"/>
  <c r="J3" i="8" s="1"/>
  <c r="M2" i="8"/>
  <c r="I2" i="8"/>
  <c r="H2" i="8"/>
  <c r="L2" i="8" s="1"/>
  <c r="G2" i="8"/>
  <c r="K2" i="8" s="1"/>
  <c r="J2" i="8" s="1"/>
  <c r="B2" i="7"/>
  <c r="G5" i="4" l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3" i="4"/>
  <c r="G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3" i="4"/>
  <c r="E4" i="4"/>
  <c r="E5" i="4"/>
  <c r="E6" i="4"/>
  <c r="G6" i="4" s="1"/>
  <c r="E7" i="4"/>
  <c r="G7" i="4" s="1"/>
  <c r="E8" i="4"/>
  <c r="G8" i="4" s="1"/>
  <c r="E9" i="4"/>
  <c r="G9" i="4" s="1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3" i="4"/>
  <c r="I4" i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3" i="4"/>
  <c r="H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3" i="4"/>
  <c r="I3" i="4" s="1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3" i="4"/>
  <c r="C15" i="1" l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tc={D76A4C6E-CBAF-43FA-B595-E4FCD3775411}</author>
    <author>tc={0C90210A-6D8A-4BC7-A56F-01470804D807}</author>
  </authors>
  <commentList>
    <comment ref="B7" authorId="0" shapeId="0" xr:uid="{D76A4C6E-CBAF-43FA-B595-E4FCD3775411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our standardized currency type please use the $DECIMAL$ drop down column.</t>
      </text>
    </comment>
    <comment ref="G7" authorId="1" shapeId="0" xr:uid="{0C90210A-6D8A-4BC7-A56F-01470804D807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tables with compound primary keys, choose 'yes' for each column that needs to be added to the primary key.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tc={8598B610-C775-43A1-ABB9-3C9A22EF7F0A}</author>
  </authors>
  <commentList>
    <comment ref="F2" authorId="0" shapeId="0" xr:uid="{8598B610-C775-43A1-ABB9-3C9A22EF7F0A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 in the tables &amp; Column names &amp; actinos 
then select ALL the columns next to this and drop down.</t>
      </text>
    </comment>
  </commentList>
</comments>
</file>

<file path=xl/sharedStrings.xml><?xml version="1.0" encoding="utf-8"?>
<sst xmlns="http://schemas.openxmlformats.org/spreadsheetml/2006/main" count="130" uniqueCount="97">
  <si>
    <t>Table Name</t>
  </si>
  <si>
    <t>Table Comment</t>
  </si>
  <si>
    <t>Column Name</t>
  </si>
  <si>
    <t>DataType</t>
  </si>
  <si>
    <t>Length</t>
  </si>
  <si>
    <t>Precision</t>
  </si>
  <si>
    <t>Nulls</t>
  </si>
  <si>
    <t>Default Value</t>
  </si>
  <si>
    <t>Comment</t>
  </si>
  <si>
    <t>AcceptableDataTypes</t>
  </si>
  <si>
    <t>INT</t>
  </si>
  <si>
    <t>DECIMAL</t>
  </si>
  <si>
    <t>$DECIMAL$</t>
  </si>
  <si>
    <t>DATE</t>
  </si>
  <si>
    <t>TIME</t>
  </si>
  <si>
    <t>DATETIME</t>
  </si>
  <si>
    <t>CHAR</t>
  </si>
  <si>
    <t>VARCHAR</t>
  </si>
  <si>
    <t>NCHAR</t>
  </si>
  <si>
    <t>NVARCHAR</t>
  </si>
  <si>
    <t>BINARY</t>
  </si>
  <si>
    <t>VARBINARY</t>
  </si>
  <si>
    <t>BIT</t>
  </si>
  <si>
    <t>NULLOK</t>
  </si>
  <si>
    <t>NULL</t>
  </si>
  <si>
    <t>NOT NULL</t>
  </si>
  <si>
    <t>Primary🗝?</t>
  </si>
  <si>
    <t>If Foreign 🗝 ? What Table &amp; Column</t>
  </si>
  <si>
    <t>YesNo</t>
  </si>
  <si>
    <t>Yes</t>
  </si>
  <si>
    <t>No</t>
  </si>
  <si>
    <t>Table Need</t>
  </si>
  <si>
    <t>Information</t>
  </si>
  <si>
    <t>The name of the column, avoid using SQL KEYWORDS, anything on the link for this cannot be used unless combined with other words.</t>
  </si>
  <si>
    <t>Click Me!</t>
  </si>
  <si>
    <t>Additional Info</t>
  </si>
  <si>
    <t>The full length of the column including any decimal places if applicable.</t>
  </si>
  <si>
    <t>Just the right side of the decmial. So, 3.14 has a length of 3 and a precision of 2.</t>
  </si>
  <si>
    <t>Are nulls allowed on this column?</t>
  </si>
  <si>
    <t>For currency use the $DECIMAL$ and length and precision will fill in for you!  For Boolean use 'BIT'.</t>
  </si>
  <si>
    <r>
      <t xml:space="preserve">Is there a default value.  Note for BIT I </t>
    </r>
    <r>
      <rPr>
        <i/>
        <sz val="11"/>
        <color theme="1"/>
        <rFont val="Franklin Gothic Book"/>
        <family val="2"/>
        <scheme val="minor"/>
      </rPr>
      <t>will</t>
    </r>
    <r>
      <rPr>
        <sz val="11"/>
        <color theme="1"/>
        <rFont val="Franklin Gothic Book"/>
        <family val="2"/>
        <scheme val="minor"/>
      </rPr>
      <t xml:space="preserve"> put in 0 for default if not specified as 1.</t>
    </r>
  </si>
  <si>
    <r>
      <t xml:space="preserve">Is this the primary key for the table, </t>
    </r>
    <r>
      <rPr>
        <i/>
        <sz val="11"/>
        <color theme="1"/>
        <rFont val="Franklin Gothic Book"/>
        <family val="2"/>
        <scheme val="minor"/>
      </rPr>
      <t xml:space="preserve">or part of </t>
    </r>
    <r>
      <rPr>
        <sz val="11"/>
        <color theme="1"/>
        <rFont val="Franklin Gothic Book"/>
        <family val="2"/>
        <scheme val="minor"/>
      </rPr>
      <t>the composite primary key?</t>
    </r>
  </si>
  <si>
    <t>Be careful here. If we already have FundPlan's key on this table we do not need to add a column for Fund!</t>
  </si>
  <si>
    <t xml:space="preserve">Table Name  </t>
  </si>
  <si>
    <t xml:space="preserve">Table Comment  </t>
  </si>
  <si>
    <t>The name of the table, avoid using SQL KEYWORDS, anything on the link for this cannot be used unless combined with other words.</t>
  </si>
  <si>
    <t>Short comment, what the table is for, what it does, where the data goes etc.</t>
  </si>
  <si>
    <t>Needs Comma</t>
  </si>
  <si>
    <t>Needs Length</t>
  </si>
  <si>
    <r>
      <t xml:space="preserve">Short comment, what the column is for, what it does, why it is. </t>
    </r>
    <r>
      <rPr>
        <i/>
        <sz val="11"/>
        <color theme="1"/>
        <rFont val="Franklin Gothic Book"/>
        <family val="2"/>
        <scheme val="minor"/>
      </rPr>
      <t>Note: if it's a properly descriptive column then we might not need always need a comment.  However, it's better to err on the side of TMI here.</t>
    </r>
  </si>
  <si>
    <t>Babler's Magic DDL Generator</t>
  </si>
  <si>
    <r>
      <t xml:space="preserve">Heavy </t>
    </r>
    <r>
      <rPr>
        <sz val="11"/>
        <color theme="1"/>
        <rFont val="Courier New"/>
        <family val="3"/>
      </rPr>
      <t>WHERE</t>
    </r>
    <r>
      <rPr>
        <sz val="11"/>
        <color theme="1"/>
        <rFont val="Franklin Gothic Book"/>
        <family val="2"/>
        <scheme val="minor"/>
      </rPr>
      <t xml:space="preserve"> clause usage?</t>
    </r>
  </si>
  <si>
    <t>Is this a column that we will be using a lot of queries and specific selections based on this value; NOT JOINS, but things like WHERE Column = @var.  Or HAVING Column = @Var?</t>
  </si>
  <si>
    <t>EXEC DD.TableAddComment '</t>
  </si>
  <si>
    <t>', '</t>
  </si>
  <si>
    <t>';</t>
  </si>
  <si>
    <t>Add Table Comment</t>
  </si>
  <si>
    <t>Add Column Comment</t>
  </si>
  <si>
    <t>Create Primary Key</t>
  </si>
  <si>
    <t>EXEC DD.ColumnAddComment '</t>
  </si>
  <si>
    <t>.</t>
  </si>
  <si>
    <t>Table Schema</t>
  </si>
  <si>
    <t>Column</t>
  </si>
  <si>
    <t>If Foreign 🔑 ? What Table &amp; Column</t>
  </si>
  <si>
    <t>PK</t>
  </si>
  <si>
    <t>FK</t>
  </si>
  <si>
    <t xml:space="preserve">Key </t>
  </si>
  <si>
    <t>CASCADE</t>
  </si>
  <si>
    <t>3 tabs is below</t>
  </si>
  <si>
    <t>NO ACTION</t>
  </si>
  <si>
    <t>SET NULL</t>
  </si>
  <si>
    <t>ParentTable</t>
  </si>
  <si>
    <t>ParentColumn</t>
  </si>
  <si>
    <t>ChildTable</t>
  </si>
  <si>
    <t>ChildColumn</t>
  </si>
  <si>
    <t>DELETE Action</t>
  </si>
  <si>
    <t>UPDATE Action</t>
  </si>
  <si>
    <t>UPPER</t>
  </si>
  <si>
    <t>IndexNameQuote</t>
  </si>
  <si>
    <t>IndexNamePlain</t>
  </si>
  <si>
    <t>Full Foreign Key &amp; Index (col l - n)</t>
  </si>
  <si>
    <t>Foreign Key</t>
  </si>
  <si>
    <t>Drop Index</t>
  </si>
  <si>
    <t>Create Index</t>
  </si>
  <si>
    <t>Unit</t>
  </si>
  <si>
    <t>UnitID</t>
  </si>
  <si>
    <t>CommonDrug</t>
  </si>
  <si>
    <t>Null?</t>
  </si>
  <si>
    <t>Default?</t>
  </si>
  <si>
    <t xml:space="preserve">CREATE TABLE  </t>
  </si>
  <si>
    <t xml:space="preserve"> (</t>
  </si>
  <si>
    <t>COPY  Table Comment 👉</t>
  </si>
  <si>
    <t>COPY ALL COLUMN COMMENTS 👉👇</t>
  </si>
  <si>
    <t>Need an Index?</t>
  </si>
  <si>
    <t>Copy This 👇 and add closing parentheses and data location (primary etc)).</t>
  </si>
  <si>
    <t>FAQ</t>
  </si>
  <si>
    <r>
      <t xml:space="preserve">To use this: fill in the "Table Builder" tab thoroughly.  Once complete email to the person in charge of table creation to add to the database.  </t>
    </r>
    <r>
      <rPr>
        <i/>
        <sz val="11"/>
        <color theme="3"/>
        <rFont val="Franklin Gothic Book"/>
        <family val="2"/>
        <scheme val="minor"/>
      </rPr>
      <t>ALL TABLES AND MOST COLUMNS MUST HAVE COMMENTS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</si>
</sst>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u/>
      <sz val="11"/>
      <color theme="10"/>
      <name val="Franklin Gothic Book"/>
      <family val="2"/>
      <scheme val="minor"/>
    </font>
    <font>
      <sz val="9"/>
      <color indexed="81"/>
      <name val="Tahoma"/>
      <charset val="1"/>
    </font>
    <font>
      <i/>
      <sz val="11"/>
      <color theme="1"/>
      <name val="Franklin Gothic Book"/>
      <family val="2"/>
      <scheme val="minor"/>
    </font>
    <font>
      <sz val="11"/>
      <color theme="1"/>
      <name val="Courier New"/>
      <family val="3"/>
    </font>
    <font>
      <b/>
      <sz val="11"/>
      <color theme="3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sz val="12"/>
      <color theme="0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8"/>
      <color theme="1"/>
      <name val="Consolas"/>
      <family val="3"/>
    </font>
    <font>
      <sz val="8"/>
      <color theme="1"/>
      <name val="Courier New"/>
      <family val="3"/>
    </font>
    <font>
      <sz val="8"/>
      <color theme="1"/>
      <name val="Franklin Gothic Book"/>
      <family val="2"/>
      <scheme val="minor"/>
    </font>
    <font>
      <b/>
      <sz val="15"/>
      <color theme="3"/>
      <name val="Courier New"/>
      <family val="3"/>
    </font>
    <font>
      <b/>
      <sz val="11"/>
      <color theme="4"/>
      <name val="Franklin Gothic Book"/>
      <family val="2"/>
      <scheme val="minor"/>
    </font>
    <font>
      <i/>
      <sz val="11"/>
      <color theme="3"/>
      <name val="Franklin Gothic Book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" fillId="2" borderId="0" applyNumberFormat="0" applyBorder="0" applyAlignment="0" applyProtection="0"/>
    <xf numFmtId="0" fontId="10" fillId="4" borderId="0" applyNumberFormat="0" applyBorder="0" applyAlignment="0" applyProtection="0"/>
  </cellStyleXfs>
  <cellXfs count="31">
    <xf numFmtId="0" fontId="0" fillId="0" borderId="0" xfId="0"/>
    <xf numFmtId="0" fontId="4" fillId="0" borderId="0" xfId="4"/>
    <xf numFmtId="0" fontId="0" fillId="0" borderId="0" xfId="0" applyAlignment="1">
      <alignment wrapText="1"/>
    </xf>
    <xf numFmtId="0" fontId="6" fillId="0" borderId="0" xfId="0" applyFont="1"/>
    <xf numFmtId="0" fontId="0" fillId="0" borderId="0" xfId="0" applyAlignment="1">
      <alignment horizontal="center"/>
    </xf>
    <xf numFmtId="0" fontId="2" fillId="0" borderId="1" xfId="1" applyAlignment="1">
      <alignment horizontal="right"/>
    </xf>
    <xf numFmtId="0" fontId="3" fillId="0" borderId="2" xfId="2" applyAlignment="1">
      <alignment horizontal="center"/>
    </xf>
    <xf numFmtId="0" fontId="3" fillId="0" borderId="2" xfId="2" applyAlignment="1">
      <alignment horizont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3" borderId="0" xfId="3" applyAlignment="1">
      <alignment vertical="center" wrapText="1"/>
    </xf>
    <xf numFmtId="0" fontId="2" fillId="2" borderId="0" xfId="1" applyFill="1" applyBorder="1" applyAlignment="1">
      <alignment horizontal="center"/>
    </xf>
    <xf numFmtId="0" fontId="3" fillId="0" borderId="2" xfId="2" applyAlignment="1">
      <alignment horizontal="center"/>
    </xf>
    <xf numFmtId="0" fontId="0" fillId="0" borderId="0" xfId="0" quotePrefix="1"/>
    <xf numFmtId="0" fontId="11" fillId="5" borderId="0" xfId="0" applyFont="1" applyFill="1"/>
    <xf numFmtId="0" fontId="11" fillId="6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13" fillId="0" borderId="0" xfId="0" applyFont="1" applyAlignment="1">
      <alignment horizontal="center"/>
    </xf>
    <xf numFmtId="0" fontId="14" fillId="0" borderId="0" xfId="0" applyFont="1"/>
    <xf numFmtId="0" fontId="13" fillId="0" borderId="0" xfId="0" applyFont="1"/>
    <xf numFmtId="0" fontId="13" fillId="0" borderId="0" xfId="0" applyFont="1" applyAlignment="1">
      <alignment wrapText="1"/>
    </xf>
    <xf numFmtId="0" fontId="15" fillId="0" borderId="0" xfId="0" applyFont="1"/>
    <xf numFmtId="0" fontId="2" fillId="2" borderId="0" xfId="7" applyFont="1"/>
    <xf numFmtId="0" fontId="2" fillId="0" borderId="1" xfId="1" applyAlignment="1">
      <alignment horizontal="right" wrapText="1"/>
    </xf>
    <xf numFmtId="0" fontId="16" fillId="2" borderId="0" xfId="7" applyFont="1" applyAlignment="1">
      <alignment wrapText="1"/>
    </xf>
    <xf numFmtId="0" fontId="2" fillId="0" borderId="1" xfId="1"/>
    <xf numFmtId="0" fontId="2" fillId="0" borderId="1" xfId="1" applyAlignment="1">
      <alignment wrapText="1"/>
    </xf>
    <xf numFmtId="0" fontId="9" fillId="0" borderId="5" xfId="6"/>
    <xf numFmtId="0" fontId="17" fillId="5" borderId="0" xfId="8" applyFont="1" applyFill="1" applyAlignment="1">
      <alignment wrapText="1"/>
    </xf>
    <xf numFmtId="0" fontId="8" fillId="0" borderId="0" xfId="5" applyBorder="1" applyAlignment="1">
      <alignment horizontal="center" wrapText="1"/>
    </xf>
  </cellXfs>
  <cellStyles count="9">
    <cellStyle name="20% - Accent1" xfId="7" builtinId="30"/>
    <cellStyle name="20% - Accent4" xfId="3" builtinId="42"/>
    <cellStyle name="Accent4" xfId="8" builtinId="41"/>
    <cellStyle name="Heading 1" xfId="1" builtinId="16"/>
    <cellStyle name="Heading 2" xfId="2" builtinId="17"/>
    <cellStyle name="Heading 3" xfId="5" builtinId="18"/>
    <cellStyle name="Hyperlink" xfId="4" builtinId="8"/>
    <cellStyle name="Normal" xfId="0" builtinId="0"/>
    <cellStyle name="Total" xfId="6" builtinId="25"/>
  </cellStyles>
  <dxfs count="1"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f77c53c9a9add1db/Documents/FK%20Build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K Maker"/>
      <sheetName val="Compatibility Checker"/>
      <sheetName val="Utilities"/>
    </sheetNames>
    <sheetDataSet>
      <sheetData sheetId="0" refreshError="1"/>
      <sheetData sheetId="1" refreshError="1"/>
      <sheetData sheetId="2">
        <row r="1">
          <cell r="A1" t="str">
            <v>CASCADE</v>
          </cell>
        </row>
        <row r="2">
          <cell r="A2" t="str">
            <v>NO ACTION</v>
          </cell>
          <cell r="B2" t="str">
            <v xml:space="preserve">			</v>
          </cell>
        </row>
        <row r="3">
          <cell r="A3" t="str">
            <v>SET NULL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ave Babler" id="{C65C3D91-DA3D-4768-9598-59FB60892A42}" userId="S::DBabler@mezrahconsulting.com::b5bd98e1-9974-4413-8dff-dd7bcfdaf2dc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F4A911-F533-42C5-B2E2-C465EBE30A90}" name="Table4" displayName="Table4" ref="A5:C17" totalsRowShown="0">
  <autoFilter ref="A5:C17" xr:uid="{B589985B-E6A5-4D0D-B93D-DB922CD67CEB}"/>
  <tableColumns count="3">
    <tableColumn id="1" xr3:uid="{D47F2000-EAD6-43DF-8C2C-85608756E2A0}" name="Table Need"/>
    <tableColumn id="2" xr3:uid="{3FFBC077-A5BE-4FD6-A06D-C353FD3B4B6F}" name="Information" dataDxfId="0"/>
    <tableColumn id="3" xr3:uid="{059907C6-4A50-46F7-B0A7-E7BE5639F818}" name="Additional Info"/>
  </tableColumns>
  <tableStyleInfo name="TableStyleMedium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39FFDB-8B76-4630-BB53-0E1F44D01104}" name="Table1" displayName="Table1" ref="A7:J8" totalsRowShown="0">
  <autoFilter ref="A7:J8" xr:uid="{00102419-5EB1-40F3-A5B1-7BCC22EFEB6E}"/>
  <sortState xmlns:xlrd2="http://schemas.microsoft.com/office/spreadsheetml/2017/richdata2" ref="A8:J8">
    <sortCondition ref="B7:B8"/>
  </sortState>
  <tableColumns count="10">
    <tableColumn id="1" xr3:uid="{9B88052B-00A6-42EF-833B-1AA34851560B}" name="Column Name"/>
    <tableColumn id="2" xr3:uid="{B91C3341-7EEB-43E0-925E-6EE2CEAD80CE}" name="DataType"/>
    <tableColumn id="3" xr3:uid="{65875179-FA44-4467-87BB-7DBDECD84379}" name="Length"/>
    <tableColumn id="4" xr3:uid="{33E77088-508D-4B37-94CB-A505FB4F0D7D}" name="Precision"/>
    <tableColumn id="5" xr3:uid="{7C21BC3E-AB21-44C1-8524-FB31B0F6A7DF}" name="Nulls"/>
    <tableColumn id="6" xr3:uid="{4510BEEE-E3D2-4F21-B0BC-23CED7B21B69}" name="Default Value"/>
    <tableColumn id="7" xr3:uid="{F35A925F-8B62-4CBE-90C4-A67337ED7840}" name="Primary🗝?"/>
    <tableColumn id="8" xr3:uid="{7B653B18-795D-4C16-A6F6-0D38E18D57F0}" name="If Foreign 🔑 ? What Table &amp; Column"/>
    <tableColumn id="10" xr3:uid="{1CFC0B75-D841-44DD-9071-4041DC3FC3B4}" name="Heavy WHERE clause usage?"/>
    <tableColumn id="9" xr3:uid="{56A21CED-CD5B-4EEC-A731-D13288199CD2}" name="Comment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Capstone">
  <a:themeElements>
    <a:clrScheme name="Custom 6">
      <a:dk1>
        <a:sysClr val="windowText" lastClr="000000"/>
      </a:dk1>
      <a:lt1>
        <a:sysClr val="window" lastClr="FFFFFF"/>
      </a:lt1>
      <a:dk2>
        <a:srgbClr val="363D46"/>
      </a:dk2>
      <a:lt2>
        <a:srgbClr val="EBEBEB"/>
      </a:lt2>
      <a:accent1>
        <a:srgbClr val="ED6B0E"/>
      </a:accent1>
      <a:accent2>
        <a:srgbClr val="A2C84E"/>
      </a:accent2>
      <a:accent3>
        <a:srgbClr val="4BC298"/>
      </a:accent3>
      <a:accent4>
        <a:srgbClr val="4CB5D3"/>
      </a:accent4>
      <a:accent5>
        <a:srgbClr val="9167E3"/>
      </a:accent5>
      <a:accent6>
        <a:srgbClr val="E05073"/>
      </a:accent6>
      <a:hlink>
        <a:srgbClr val="E19520"/>
      </a:hlink>
      <a:folHlink>
        <a:srgbClr val="E8B15D"/>
      </a:folHlink>
    </a:clrScheme>
    <a:fontScheme name="Crop">
      <a:majorFont>
        <a:latin typeface="Franklin Gothic Book" panose="020B0503020102020204"/>
        <a:ea typeface=""/>
        <a:cs typeface=""/>
        <a:font script="Jpan" typeface="メイリオ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メイリオ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rop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34925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rop" id="{EC9488ED-E761-4D60-9AC4-764D1FE2C171}" vid="{CE19780C-D67D-4C13-9DE9-A52BC3BA51B4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7" dT="2021-02-11T15:22:13.19" personId="{C65C3D91-DA3D-4768-9598-59FB60892A42}" id="{D76A4C6E-CBAF-43FA-B595-E4FCD3775411}">
    <text>For our standardized currency type please use the $DECIMAL$ drop down column.</text>
  </threadedComment>
  <threadedComment ref="G7" dT="2021-02-11T15:21:39.76" personId="{C65C3D91-DA3D-4768-9598-59FB60892A42}" id="{0C90210A-6D8A-4BC7-A56F-01470804D807}">
    <text>For tables with compound primary keys, choose 'yes' for each column that needs to be added to the primary key.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" dT="2020-09-03T14:33:25.21" personId="{C65C3D91-DA3D-4768-9598-59FB60892A42}" id="{8598B610-C775-43A1-ABB9-3C9A22EF7F0A}">
    <text>Fill in the tables &amp; Column names &amp; actinos 
then select ALL the columns next to this and drop down.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ocs.microsoft.com/en-us/sql/t-sql/language-elements/reserved-keywords-transact-sql?view=sql-server-ver15" TargetMode="External"/><Relationship Id="rId1" Type="http://schemas.openxmlformats.org/officeDocument/2006/relationships/hyperlink" Target="https://docs.microsoft.com/en-us/sql/t-sql/language-elements/reserved-keywords-transact-sql?view=sql-server-ver15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679B8-B93F-4108-8275-84079F08E61E}">
  <dimension ref="A1:C17"/>
  <sheetViews>
    <sheetView workbookViewId="0">
      <selection activeCell="B3" sqref="B3"/>
    </sheetView>
  </sheetViews>
  <sheetFormatPr defaultRowHeight="15.75" x14ac:dyDescent="0.3"/>
  <cols>
    <col min="1" max="1" width="27.6640625" bestFit="1" customWidth="1"/>
    <col min="2" max="2" width="59.33203125" customWidth="1"/>
    <col min="3" max="3" width="14.5546875" bestFit="1" customWidth="1"/>
  </cols>
  <sheetData>
    <row r="1" spans="1:3" ht="55.5" customHeight="1" x14ac:dyDescent="0.3">
      <c r="A1" s="30" t="s">
        <v>96</v>
      </c>
      <c r="B1" s="30"/>
    </row>
    <row r="4" spans="1:3" ht="21" thickBot="1" x14ac:dyDescent="0.4">
      <c r="A4" s="26" t="s">
        <v>95</v>
      </c>
      <c r="B4" s="26"/>
      <c r="C4" s="26"/>
    </row>
    <row r="5" spans="1:3" ht="16.5" thickTop="1" x14ac:dyDescent="0.3">
      <c r="A5" t="s">
        <v>31</v>
      </c>
      <c r="B5" t="s">
        <v>32</v>
      </c>
      <c r="C5" t="s">
        <v>35</v>
      </c>
    </row>
    <row r="6" spans="1:3" ht="31.5" x14ac:dyDescent="0.3">
      <c r="A6" t="s">
        <v>0</v>
      </c>
      <c r="B6" s="2" t="s">
        <v>45</v>
      </c>
      <c r="C6" s="1" t="s">
        <v>34</v>
      </c>
    </row>
    <row r="7" spans="1:3" x14ac:dyDescent="0.3">
      <c r="A7" t="s">
        <v>1</v>
      </c>
      <c r="B7" s="2" t="s">
        <v>46</v>
      </c>
    </row>
    <row r="8" spans="1:3" ht="31.5" x14ac:dyDescent="0.3">
      <c r="A8" t="s">
        <v>2</v>
      </c>
      <c r="B8" s="2" t="s">
        <v>33</v>
      </c>
      <c r="C8" s="1" t="s">
        <v>34</v>
      </c>
    </row>
    <row r="9" spans="1:3" ht="31.5" x14ac:dyDescent="0.3">
      <c r="A9" t="s">
        <v>3</v>
      </c>
      <c r="B9" s="2" t="s">
        <v>39</v>
      </c>
    </row>
    <row r="10" spans="1:3" x14ac:dyDescent="0.3">
      <c r="A10" t="s">
        <v>4</v>
      </c>
      <c r="B10" s="2" t="s">
        <v>36</v>
      </c>
    </row>
    <row r="11" spans="1:3" ht="31.5" x14ac:dyDescent="0.3">
      <c r="A11" t="s">
        <v>5</v>
      </c>
      <c r="B11" s="2" t="s">
        <v>37</v>
      </c>
    </row>
    <row r="12" spans="1:3" x14ac:dyDescent="0.3">
      <c r="A12" t="s">
        <v>6</v>
      </c>
      <c r="B12" s="2" t="s">
        <v>38</v>
      </c>
    </row>
    <row r="13" spans="1:3" ht="31.5" x14ac:dyDescent="0.3">
      <c r="A13" t="s">
        <v>7</v>
      </c>
      <c r="B13" s="2" t="s">
        <v>40</v>
      </c>
    </row>
    <row r="14" spans="1:3" x14ac:dyDescent="0.3">
      <c r="A14" t="s">
        <v>26</v>
      </c>
      <c r="B14" s="2" t="s">
        <v>41</v>
      </c>
    </row>
    <row r="15" spans="1:3" ht="31.5" x14ac:dyDescent="0.3">
      <c r="A15" t="s">
        <v>27</v>
      </c>
      <c r="B15" s="2" t="s">
        <v>42</v>
      </c>
    </row>
    <row r="16" spans="1:3" ht="47.25" x14ac:dyDescent="0.3">
      <c r="A16" t="s">
        <v>51</v>
      </c>
      <c r="B16" s="2" t="s">
        <v>52</v>
      </c>
    </row>
    <row r="17" spans="1:2" ht="47.25" x14ac:dyDescent="0.3">
      <c r="A17" t="s">
        <v>8</v>
      </c>
      <c r="B17" s="2" t="s">
        <v>49</v>
      </c>
    </row>
  </sheetData>
  <mergeCells count="1">
    <mergeCell ref="A1:B1"/>
  </mergeCells>
  <hyperlinks>
    <hyperlink ref="C8" r:id="rId1" xr:uid="{58FE98E1-B201-4BFA-A4CA-AFBB5E0F74DE}"/>
    <hyperlink ref="C6" r:id="rId2" xr:uid="{E90B0E18-E431-473E-84A2-71052EA5F66E}"/>
  </hyperlinks>
  <pageMargins left="0.7" right="0.7" top="0.75" bottom="0.75" header="0.3" footer="0.3"/>
  <pageSetup orientation="portrait" horizontalDpi="4294967293" verticalDpi="0"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F3DD6-2B35-462E-AF38-7C8902A8DA72}">
  <dimension ref="A1:J97"/>
  <sheetViews>
    <sheetView tabSelected="1" workbookViewId="0">
      <selection activeCell="C2" sqref="C2:C4"/>
    </sheetView>
  </sheetViews>
  <sheetFormatPr defaultRowHeight="15.75" x14ac:dyDescent="0.3"/>
  <cols>
    <col min="1" max="1" width="16" bestFit="1" customWidth="1"/>
    <col min="2" max="3" width="15.109375" bestFit="1" customWidth="1"/>
    <col min="4" max="4" width="10.109375" bestFit="1" customWidth="1"/>
    <col min="5" max="5" width="6.77734375" bestFit="1" customWidth="1"/>
    <col min="6" max="6" width="13.77734375" bestFit="1" customWidth="1"/>
    <col min="7" max="7" width="12" bestFit="1" customWidth="1"/>
    <col min="8" max="8" width="33.5546875" bestFit="1" customWidth="1"/>
    <col min="9" max="9" width="28.6640625" customWidth="1"/>
    <col min="10" max="10" width="47.5546875" customWidth="1"/>
  </cols>
  <sheetData>
    <row r="1" spans="1:10" ht="21" thickBot="1" x14ac:dyDescent="0.4">
      <c r="A1" s="5" t="s">
        <v>61</v>
      </c>
      <c r="B1" s="23"/>
      <c r="C1" s="5" t="s">
        <v>43</v>
      </c>
      <c r="D1" s="11"/>
      <c r="E1" s="11"/>
      <c r="F1" s="11"/>
      <c r="G1" s="11"/>
      <c r="H1" s="11"/>
    </row>
    <row r="2" spans="1:10" ht="16.5" thickTop="1" x14ac:dyDescent="0.3">
      <c r="C2" s="8" t="s">
        <v>44</v>
      </c>
      <c r="D2" s="10"/>
      <c r="E2" s="10"/>
      <c r="F2" s="10"/>
      <c r="G2" s="10"/>
      <c r="H2" s="10"/>
    </row>
    <row r="3" spans="1:10" x14ac:dyDescent="0.3">
      <c r="C3" s="9"/>
      <c r="D3" s="10"/>
      <c r="E3" s="10"/>
      <c r="F3" s="10"/>
      <c r="G3" s="10"/>
      <c r="H3" s="10"/>
    </row>
    <row r="4" spans="1:10" x14ac:dyDescent="0.3">
      <c r="C4" s="9"/>
      <c r="D4" s="10"/>
      <c r="E4" s="10"/>
      <c r="F4" s="10"/>
      <c r="G4" s="10"/>
      <c r="H4" s="10"/>
      <c r="I4" t="str">
        <f>IF(AND(ISBLANK('Table Builder'!G8), ISBLANK('Table Builder'!H8)), IF(ISBLANK('Table Builder'!G8), IF(ISBLANK('Table Builder'!H8), "", "F🔑"), "P🗝"),"P🗝F🔑")</f>
        <v/>
      </c>
    </row>
    <row r="6" spans="1:10" s="3" customFormat="1" x14ac:dyDescent="0.3"/>
    <row r="7" spans="1:10" x14ac:dyDescent="0.3">
      <c r="A7" t="s">
        <v>2</v>
      </c>
      <c r="B7" t="s">
        <v>3</v>
      </c>
      <c r="C7" t="s">
        <v>4</v>
      </c>
      <c r="D7" t="s">
        <v>5</v>
      </c>
      <c r="E7" t="s">
        <v>6</v>
      </c>
      <c r="F7" t="s">
        <v>7</v>
      </c>
      <c r="G7" t="s">
        <v>26</v>
      </c>
      <c r="H7" t="s">
        <v>63</v>
      </c>
      <c r="I7" t="s">
        <v>51</v>
      </c>
      <c r="J7" t="s">
        <v>8</v>
      </c>
    </row>
    <row r="15" spans="1:10" x14ac:dyDescent="0.3">
      <c r="C15" t="str">
        <f t="shared" ref="C9:C72" si="0">IF(B15="$DECIMAL$", 24, "")</f>
        <v/>
      </c>
      <c r="D15" t="str">
        <f t="shared" ref="D9:D72" si="1">IF(B15="$DECIMAL$", 6, "")</f>
        <v/>
      </c>
    </row>
    <row r="16" spans="1:10" x14ac:dyDescent="0.3">
      <c r="C16" t="str">
        <f t="shared" si="0"/>
        <v/>
      </c>
      <c r="D16" t="str">
        <f t="shared" si="1"/>
        <v/>
      </c>
    </row>
    <row r="17" spans="3:4" x14ac:dyDescent="0.3">
      <c r="C17" t="str">
        <f t="shared" si="0"/>
        <v/>
      </c>
      <c r="D17" t="str">
        <f t="shared" si="1"/>
        <v/>
      </c>
    </row>
    <row r="18" spans="3:4" x14ac:dyDescent="0.3">
      <c r="C18" t="str">
        <f t="shared" si="0"/>
        <v/>
      </c>
      <c r="D18" t="str">
        <f t="shared" si="1"/>
        <v/>
      </c>
    </row>
    <row r="19" spans="3:4" x14ac:dyDescent="0.3">
      <c r="C19" t="str">
        <f t="shared" si="0"/>
        <v/>
      </c>
      <c r="D19" t="str">
        <f t="shared" si="1"/>
        <v/>
      </c>
    </row>
    <row r="20" spans="3:4" x14ac:dyDescent="0.3">
      <c r="C20" t="str">
        <f t="shared" si="0"/>
        <v/>
      </c>
      <c r="D20" t="str">
        <f t="shared" si="1"/>
        <v/>
      </c>
    </row>
    <row r="21" spans="3:4" x14ac:dyDescent="0.3">
      <c r="C21" t="str">
        <f t="shared" si="0"/>
        <v/>
      </c>
      <c r="D21" t="str">
        <f t="shared" si="1"/>
        <v/>
      </c>
    </row>
    <row r="22" spans="3:4" x14ac:dyDescent="0.3">
      <c r="C22" t="str">
        <f t="shared" si="0"/>
        <v/>
      </c>
      <c r="D22" t="str">
        <f t="shared" si="1"/>
        <v/>
      </c>
    </row>
    <row r="23" spans="3:4" x14ac:dyDescent="0.3">
      <c r="C23" t="str">
        <f t="shared" si="0"/>
        <v/>
      </c>
      <c r="D23" t="str">
        <f t="shared" si="1"/>
        <v/>
      </c>
    </row>
    <row r="24" spans="3:4" x14ac:dyDescent="0.3">
      <c r="C24" t="str">
        <f t="shared" si="0"/>
        <v/>
      </c>
      <c r="D24" t="str">
        <f t="shared" si="1"/>
        <v/>
      </c>
    </row>
    <row r="25" spans="3:4" x14ac:dyDescent="0.3">
      <c r="C25" t="str">
        <f t="shared" si="0"/>
        <v/>
      </c>
      <c r="D25" t="str">
        <f t="shared" si="1"/>
        <v/>
      </c>
    </row>
    <row r="26" spans="3:4" x14ac:dyDescent="0.3">
      <c r="C26" t="str">
        <f t="shared" si="0"/>
        <v/>
      </c>
      <c r="D26" t="str">
        <f t="shared" si="1"/>
        <v/>
      </c>
    </row>
    <row r="27" spans="3:4" x14ac:dyDescent="0.3">
      <c r="C27" t="str">
        <f t="shared" si="0"/>
        <v/>
      </c>
      <c r="D27" t="str">
        <f t="shared" si="1"/>
        <v/>
      </c>
    </row>
    <row r="28" spans="3:4" x14ac:dyDescent="0.3">
      <c r="C28" t="str">
        <f t="shared" si="0"/>
        <v/>
      </c>
      <c r="D28" t="str">
        <f t="shared" si="1"/>
        <v/>
      </c>
    </row>
    <row r="29" spans="3:4" x14ac:dyDescent="0.3">
      <c r="C29" t="str">
        <f t="shared" si="0"/>
        <v/>
      </c>
      <c r="D29" t="str">
        <f t="shared" si="1"/>
        <v/>
      </c>
    </row>
    <row r="30" spans="3:4" x14ac:dyDescent="0.3">
      <c r="C30" t="str">
        <f t="shared" si="0"/>
        <v/>
      </c>
      <c r="D30" t="str">
        <f t="shared" si="1"/>
        <v/>
      </c>
    </row>
    <row r="31" spans="3:4" x14ac:dyDescent="0.3">
      <c r="C31" t="str">
        <f t="shared" si="0"/>
        <v/>
      </c>
      <c r="D31" t="str">
        <f t="shared" si="1"/>
        <v/>
      </c>
    </row>
    <row r="32" spans="3:4" x14ac:dyDescent="0.3">
      <c r="C32" t="str">
        <f t="shared" si="0"/>
        <v/>
      </c>
      <c r="D32" t="str">
        <f t="shared" si="1"/>
        <v/>
      </c>
    </row>
    <row r="33" spans="3:4" x14ac:dyDescent="0.3">
      <c r="C33" t="str">
        <f t="shared" si="0"/>
        <v/>
      </c>
      <c r="D33" t="str">
        <f t="shared" si="1"/>
        <v/>
      </c>
    </row>
    <row r="34" spans="3:4" x14ac:dyDescent="0.3">
      <c r="C34" t="str">
        <f t="shared" si="0"/>
        <v/>
      </c>
      <c r="D34" t="str">
        <f t="shared" si="1"/>
        <v/>
      </c>
    </row>
    <row r="35" spans="3:4" x14ac:dyDescent="0.3">
      <c r="C35" t="str">
        <f t="shared" si="0"/>
        <v/>
      </c>
      <c r="D35" t="str">
        <f t="shared" si="1"/>
        <v/>
      </c>
    </row>
    <row r="36" spans="3:4" x14ac:dyDescent="0.3">
      <c r="C36" t="str">
        <f t="shared" si="0"/>
        <v/>
      </c>
      <c r="D36" t="str">
        <f t="shared" si="1"/>
        <v/>
      </c>
    </row>
    <row r="37" spans="3:4" x14ac:dyDescent="0.3">
      <c r="C37" t="str">
        <f t="shared" si="0"/>
        <v/>
      </c>
      <c r="D37" t="str">
        <f t="shared" si="1"/>
        <v/>
      </c>
    </row>
    <row r="38" spans="3:4" x14ac:dyDescent="0.3">
      <c r="C38" t="str">
        <f t="shared" si="0"/>
        <v/>
      </c>
      <c r="D38" t="str">
        <f t="shared" si="1"/>
        <v/>
      </c>
    </row>
    <row r="39" spans="3:4" x14ac:dyDescent="0.3">
      <c r="C39" t="str">
        <f t="shared" si="0"/>
        <v/>
      </c>
      <c r="D39" t="str">
        <f t="shared" si="1"/>
        <v/>
      </c>
    </row>
    <row r="40" spans="3:4" x14ac:dyDescent="0.3">
      <c r="C40" t="str">
        <f t="shared" si="0"/>
        <v/>
      </c>
      <c r="D40" t="str">
        <f t="shared" si="1"/>
        <v/>
      </c>
    </row>
    <row r="41" spans="3:4" x14ac:dyDescent="0.3">
      <c r="C41" t="str">
        <f t="shared" si="0"/>
        <v/>
      </c>
      <c r="D41" t="str">
        <f t="shared" si="1"/>
        <v/>
      </c>
    </row>
    <row r="42" spans="3:4" x14ac:dyDescent="0.3">
      <c r="C42" t="str">
        <f t="shared" si="0"/>
        <v/>
      </c>
      <c r="D42" t="str">
        <f t="shared" si="1"/>
        <v/>
      </c>
    </row>
    <row r="43" spans="3:4" x14ac:dyDescent="0.3">
      <c r="C43" t="str">
        <f t="shared" si="0"/>
        <v/>
      </c>
      <c r="D43" t="str">
        <f t="shared" si="1"/>
        <v/>
      </c>
    </row>
    <row r="44" spans="3:4" x14ac:dyDescent="0.3">
      <c r="C44" t="str">
        <f t="shared" si="0"/>
        <v/>
      </c>
      <c r="D44" t="str">
        <f t="shared" si="1"/>
        <v/>
      </c>
    </row>
    <row r="45" spans="3:4" x14ac:dyDescent="0.3">
      <c r="C45" t="str">
        <f t="shared" si="0"/>
        <v/>
      </c>
      <c r="D45" t="str">
        <f t="shared" si="1"/>
        <v/>
      </c>
    </row>
    <row r="46" spans="3:4" x14ac:dyDescent="0.3">
      <c r="C46" t="str">
        <f t="shared" si="0"/>
        <v/>
      </c>
      <c r="D46" t="str">
        <f t="shared" si="1"/>
        <v/>
      </c>
    </row>
    <row r="47" spans="3:4" x14ac:dyDescent="0.3">
      <c r="C47" t="str">
        <f t="shared" si="0"/>
        <v/>
      </c>
      <c r="D47" t="str">
        <f t="shared" si="1"/>
        <v/>
      </c>
    </row>
    <row r="48" spans="3:4" x14ac:dyDescent="0.3">
      <c r="C48" t="str">
        <f t="shared" si="0"/>
        <v/>
      </c>
      <c r="D48" t="str">
        <f t="shared" si="1"/>
        <v/>
      </c>
    </row>
    <row r="49" spans="3:4" x14ac:dyDescent="0.3">
      <c r="C49" t="str">
        <f t="shared" si="0"/>
        <v/>
      </c>
      <c r="D49" t="str">
        <f t="shared" si="1"/>
        <v/>
      </c>
    </row>
    <row r="50" spans="3:4" x14ac:dyDescent="0.3">
      <c r="C50" t="str">
        <f t="shared" si="0"/>
        <v/>
      </c>
      <c r="D50" t="str">
        <f t="shared" si="1"/>
        <v/>
      </c>
    </row>
    <row r="51" spans="3:4" x14ac:dyDescent="0.3">
      <c r="C51" t="str">
        <f t="shared" si="0"/>
        <v/>
      </c>
      <c r="D51" t="str">
        <f t="shared" si="1"/>
        <v/>
      </c>
    </row>
    <row r="52" spans="3:4" x14ac:dyDescent="0.3">
      <c r="C52" t="str">
        <f t="shared" si="0"/>
        <v/>
      </c>
      <c r="D52" t="str">
        <f t="shared" si="1"/>
        <v/>
      </c>
    </row>
    <row r="53" spans="3:4" x14ac:dyDescent="0.3">
      <c r="C53" t="str">
        <f t="shared" si="0"/>
        <v/>
      </c>
      <c r="D53" t="str">
        <f t="shared" si="1"/>
        <v/>
      </c>
    </row>
    <row r="54" spans="3:4" x14ac:dyDescent="0.3">
      <c r="C54" t="str">
        <f t="shared" si="0"/>
        <v/>
      </c>
      <c r="D54" t="str">
        <f t="shared" si="1"/>
        <v/>
      </c>
    </row>
    <row r="55" spans="3:4" x14ac:dyDescent="0.3">
      <c r="C55" t="str">
        <f t="shared" si="0"/>
        <v/>
      </c>
      <c r="D55" t="str">
        <f t="shared" si="1"/>
        <v/>
      </c>
    </row>
    <row r="56" spans="3:4" x14ac:dyDescent="0.3">
      <c r="C56" t="str">
        <f t="shared" si="0"/>
        <v/>
      </c>
      <c r="D56" t="str">
        <f t="shared" si="1"/>
        <v/>
      </c>
    </row>
    <row r="57" spans="3:4" x14ac:dyDescent="0.3">
      <c r="C57" t="str">
        <f t="shared" si="0"/>
        <v/>
      </c>
      <c r="D57" t="str">
        <f t="shared" si="1"/>
        <v/>
      </c>
    </row>
    <row r="58" spans="3:4" x14ac:dyDescent="0.3">
      <c r="C58" t="str">
        <f t="shared" si="0"/>
        <v/>
      </c>
      <c r="D58" t="str">
        <f t="shared" si="1"/>
        <v/>
      </c>
    </row>
    <row r="59" spans="3:4" x14ac:dyDescent="0.3">
      <c r="C59" t="str">
        <f t="shared" si="0"/>
        <v/>
      </c>
      <c r="D59" t="str">
        <f t="shared" si="1"/>
        <v/>
      </c>
    </row>
    <row r="60" spans="3:4" x14ac:dyDescent="0.3">
      <c r="C60" t="str">
        <f t="shared" si="0"/>
        <v/>
      </c>
      <c r="D60" t="str">
        <f t="shared" si="1"/>
        <v/>
      </c>
    </row>
    <row r="61" spans="3:4" x14ac:dyDescent="0.3">
      <c r="C61" t="str">
        <f t="shared" si="0"/>
        <v/>
      </c>
      <c r="D61" t="str">
        <f t="shared" si="1"/>
        <v/>
      </c>
    </row>
    <row r="62" spans="3:4" x14ac:dyDescent="0.3">
      <c r="C62" t="str">
        <f t="shared" si="0"/>
        <v/>
      </c>
      <c r="D62" t="str">
        <f t="shared" si="1"/>
        <v/>
      </c>
    </row>
    <row r="63" spans="3:4" x14ac:dyDescent="0.3">
      <c r="C63" t="str">
        <f t="shared" si="0"/>
        <v/>
      </c>
      <c r="D63" t="str">
        <f t="shared" si="1"/>
        <v/>
      </c>
    </row>
    <row r="64" spans="3:4" x14ac:dyDescent="0.3">
      <c r="C64" t="str">
        <f t="shared" si="0"/>
        <v/>
      </c>
      <c r="D64" t="str">
        <f t="shared" si="1"/>
        <v/>
      </c>
    </row>
    <row r="65" spans="3:4" x14ac:dyDescent="0.3">
      <c r="C65" t="str">
        <f t="shared" si="0"/>
        <v/>
      </c>
      <c r="D65" t="str">
        <f t="shared" si="1"/>
        <v/>
      </c>
    </row>
    <row r="66" spans="3:4" x14ac:dyDescent="0.3">
      <c r="C66" t="str">
        <f t="shared" si="0"/>
        <v/>
      </c>
      <c r="D66" t="str">
        <f t="shared" si="1"/>
        <v/>
      </c>
    </row>
    <row r="67" spans="3:4" x14ac:dyDescent="0.3">
      <c r="C67" t="str">
        <f t="shared" si="0"/>
        <v/>
      </c>
      <c r="D67" t="str">
        <f t="shared" si="1"/>
        <v/>
      </c>
    </row>
    <row r="68" spans="3:4" x14ac:dyDescent="0.3">
      <c r="C68" t="str">
        <f t="shared" si="0"/>
        <v/>
      </c>
      <c r="D68" t="str">
        <f t="shared" si="1"/>
        <v/>
      </c>
    </row>
    <row r="69" spans="3:4" x14ac:dyDescent="0.3">
      <c r="C69" t="str">
        <f t="shared" si="0"/>
        <v/>
      </c>
      <c r="D69" t="str">
        <f t="shared" si="1"/>
        <v/>
      </c>
    </row>
    <row r="70" spans="3:4" x14ac:dyDescent="0.3">
      <c r="C70" t="str">
        <f t="shared" si="0"/>
        <v/>
      </c>
      <c r="D70" t="str">
        <f t="shared" si="1"/>
        <v/>
      </c>
    </row>
    <row r="71" spans="3:4" x14ac:dyDescent="0.3">
      <c r="C71" t="str">
        <f t="shared" si="0"/>
        <v/>
      </c>
      <c r="D71" t="str">
        <f t="shared" si="1"/>
        <v/>
      </c>
    </row>
    <row r="72" spans="3:4" x14ac:dyDescent="0.3">
      <c r="C72" t="str">
        <f t="shared" si="0"/>
        <v/>
      </c>
      <c r="D72" t="str">
        <f t="shared" si="1"/>
        <v/>
      </c>
    </row>
    <row r="73" spans="3:4" x14ac:dyDescent="0.3">
      <c r="C73" t="str">
        <f t="shared" ref="C73:C97" si="2">IF(B73="$DECIMAL$", 24, "")</f>
        <v/>
      </c>
      <c r="D73" t="str">
        <f t="shared" ref="D73:D97" si="3">IF(B73="$DECIMAL$", 6, "")</f>
        <v/>
      </c>
    </row>
    <row r="74" spans="3:4" x14ac:dyDescent="0.3">
      <c r="C74" t="str">
        <f t="shared" si="2"/>
        <v/>
      </c>
      <c r="D74" t="str">
        <f t="shared" si="3"/>
        <v/>
      </c>
    </row>
    <row r="75" spans="3:4" x14ac:dyDescent="0.3">
      <c r="C75" t="str">
        <f t="shared" si="2"/>
        <v/>
      </c>
      <c r="D75" t="str">
        <f t="shared" si="3"/>
        <v/>
      </c>
    </row>
    <row r="76" spans="3:4" x14ac:dyDescent="0.3">
      <c r="C76" t="str">
        <f t="shared" si="2"/>
        <v/>
      </c>
      <c r="D76" t="str">
        <f t="shared" si="3"/>
        <v/>
      </c>
    </row>
    <row r="77" spans="3:4" x14ac:dyDescent="0.3">
      <c r="C77" t="str">
        <f t="shared" si="2"/>
        <v/>
      </c>
      <c r="D77" t="str">
        <f t="shared" si="3"/>
        <v/>
      </c>
    </row>
    <row r="78" spans="3:4" x14ac:dyDescent="0.3">
      <c r="C78" t="str">
        <f t="shared" si="2"/>
        <v/>
      </c>
      <c r="D78" t="str">
        <f t="shared" si="3"/>
        <v/>
      </c>
    </row>
    <row r="79" spans="3:4" x14ac:dyDescent="0.3">
      <c r="C79" t="str">
        <f t="shared" si="2"/>
        <v/>
      </c>
      <c r="D79" t="str">
        <f t="shared" si="3"/>
        <v/>
      </c>
    </row>
    <row r="80" spans="3:4" x14ac:dyDescent="0.3">
      <c r="C80" t="str">
        <f t="shared" si="2"/>
        <v/>
      </c>
      <c r="D80" t="str">
        <f t="shared" si="3"/>
        <v/>
      </c>
    </row>
    <row r="81" spans="3:4" x14ac:dyDescent="0.3">
      <c r="C81" t="str">
        <f t="shared" si="2"/>
        <v/>
      </c>
      <c r="D81" t="str">
        <f t="shared" si="3"/>
        <v/>
      </c>
    </row>
    <row r="82" spans="3:4" x14ac:dyDescent="0.3">
      <c r="C82" t="str">
        <f t="shared" si="2"/>
        <v/>
      </c>
      <c r="D82" t="str">
        <f t="shared" si="3"/>
        <v/>
      </c>
    </row>
    <row r="83" spans="3:4" x14ac:dyDescent="0.3">
      <c r="C83" t="str">
        <f t="shared" si="2"/>
        <v/>
      </c>
      <c r="D83" t="str">
        <f t="shared" si="3"/>
        <v/>
      </c>
    </row>
    <row r="84" spans="3:4" x14ac:dyDescent="0.3">
      <c r="C84" t="str">
        <f t="shared" si="2"/>
        <v/>
      </c>
      <c r="D84" t="str">
        <f t="shared" si="3"/>
        <v/>
      </c>
    </row>
    <row r="85" spans="3:4" x14ac:dyDescent="0.3">
      <c r="C85" t="str">
        <f t="shared" si="2"/>
        <v/>
      </c>
      <c r="D85" t="str">
        <f t="shared" si="3"/>
        <v/>
      </c>
    </row>
    <row r="86" spans="3:4" x14ac:dyDescent="0.3">
      <c r="C86" t="str">
        <f t="shared" si="2"/>
        <v/>
      </c>
      <c r="D86" t="str">
        <f t="shared" si="3"/>
        <v/>
      </c>
    </row>
    <row r="87" spans="3:4" x14ac:dyDescent="0.3">
      <c r="C87" t="str">
        <f t="shared" si="2"/>
        <v/>
      </c>
      <c r="D87" t="str">
        <f t="shared" si="3"/>
        <v/>
      </c>
    </row>
    <row r="88" spans="3:4" x14ac:dyDescent="0.3">
      <c r="C88" t="str">
        <f t="shared" si="2"/>
        <v/>
      </c>
      <c r="D88" t="str">
        <f t="shared" si="3"/>
        <v/>
      </c>
    </row>
    <row r="89" spans="3:4" x14ac:dyDescent="0.3">
      <c r="C89" t="str">
        <f t="shared" si="2"/>
        <v/>
      </c>
      <c r="D89" t="str">
        <f t="shared" si="3"/>
        <v/>
      </c>
    </row>
    <row r="90" spans="3:4" x14ac:dyDescent="0.3">
      <c r="C90" t="str">
        <f t="shared" si="2"/>
        <v/>
      </c>
      <c r="D90" t="str">
        <f t="shared" si="3"/>
        <v/>
      </c>
    </row>
    <row r="91" spans="3:4" x14ac:dyDescent="0.3">
      <c r="C91" t="str">
        <f t="shared" si="2"/>
        <v/>
      </c>
      <c r="D91" t="str">
        <f t="shared" si="3"/>
        <v/>
      </c>
    </row>
    <row r="92" spans="3:4" x14ac:dyDescent="0.3">
      <c r="C92" t="str">
        <f t="shared" si="2"/>
        <v/>
      </c>
      <c r="D92" t="str">
        <f t="shared" si="3"/>
        <v/>
      </c>
    </row>
    <row r="93" spans="3:4" x14ac:dyDescent="0.3">
      <c r="C93" t="str">
        <f t="shared" si="2"/>
        <v/>
      </c>
      <c r="D93" t="str">
        <f t="shared" si="3"/>
        <v/>
      </c>
    </row>
    <row r="94" spans="3:4" x14ac:dyDescent="0.3">
      <c r="C94" t="str">
        <f t="shared" si="2"/>
        <v/>
      </c>
      <c r="D94" t="str">
        <f t="shared" si="3"/>
        <v/>
      </c>
    </row>
    <row r="95" spans="3:4" x14ac:dyDescent="0.3">
      <c r="C95" t="str">
        <f t="shared" si="2"/>
        <v/>
      </c>
      <c r="D95" t="str">
        <f t="shared" si="3"/>
        <v/>
      </c>
    </row>
    <row r="96" spans="3:4" x14ac:dyDescent="0.3">
      <c r="C96" t="str">
        <f t="shared" si="2"/>
        <v/>
      </c>
      <c r="D96" t="str">
        <f t="shared" si="3"/>
        <v/>
      </c>
    </row>
    <row r="97" spans="3:4" x14ac:dyDescent="0.3">
      <c r="C97" t="str">
        <f t="shared" si="2"/>
        <v/>
      </c>
      <c r="D97" t="str">
        <f t="shared" si="3"/>
        <v/>
      </c>
    </row>
  </sheetData>
  <mergeCells count="3">
    <mergeCell ref="C2:C4"/>
    <mergeCell ref="D2:H4"/>
    <mergeCell ref="D1:H1"/>
  </mergeCells>
  <dataValidations count="6">
    <dataValidation type="list" allowBlank="1" showInputMessage="1" showErrorMessage="1" errorTitle="Use The DropDownList" error="For Money use the DECIMAL flanked by dollar signs." sqref="B8:B99" xr:uid="{B6EE4D5E-4C6D-484A-823C-67A6AA80AAC5}">
      <formula1>AcceptableDataTypes</formula1>
    </dataValidation>
    <dataValidation type="list" allowBlank="1" showInputMessage="1" showErrorMessage="1" sqref="E8:E92" xr:uid="{2AD5EA44-122A-4721-9823-11E558F82A29}">
      <formula1>NULLOK</formula1>
    </dataValidation>
    <dataValidation type="list" allowBlank="1" showInputMessage="1" showErrorMessage="1" sqref="G8:G99 I8:I96" xr:uid="{6C5EE03E-ACA0-4B8E-BDBB-7B62422D8EC5}">
      <formula1>YESNO</formula1>
    </dataValidation>
    <dataValidation type="textLength" allowBlank="1" showInputMessage="1" showErrorMessage="1" errorTitle="Comment too long" error="Keep your comment below 359 chars please.  _x000a_Column does thing  or stores this, because of this reason." sqref="J8:J99" xr:uid="{375E31D9-B013-4301-AD65-B75FDE73C386}">
      <formula1>0</formula1>
      <formula2>360</formula2>
    </dataValidation>
    <dataValidation type="custom" showInputMessage="1" showErrorMessage="1" errorTitle="You need a table comment" error="Tables must have a comment explaining what they are for at time of creation" sqref="A8" xr:uid="{F7992EC4-3B11-40B9-81D3-6461C533D714}">
      <formula1>NOT(ISBLANK(D2))</formula1>
    </dataValidation>
    <dataValidation type="custom" showInputMessage="1" showErrorMessage="1" errorTitle="You must add the schema" error="Schemas are important, please enter the correct schema." sqref="D1:H1" xr:uid="{CF38A73A-706D-45BA-B9EB-EBCEB77B2899}">
      <formula1>NOT(ISBLANK(B1))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5E91-8390-41EA-BBA8-5FD8B3C19E93}">
  <dimension ref="A1:I83"/>
  <sheetViews>
    <sheetView workbookViewId="0">
      <selection activeCell="I12" sqref="I12"/>
    </sheetView>
  </sheetViews>
  <sheetFormatPr defaultRowHeight="15.75" x14ac:dyDescent="0.3"/>
  <cols>
    <col min="2" max="2" width="11.21875" bestFit="1" customWidth="1"/>
    <col min="5" max="6" width="0" hidden="1" customWidth="1"/>
    <col min="8" max="8" width="13.77734375" bestFit="1" customWidth="1"/>
    <col min="9" max="9" width="61.44140625" customWidth="1"/>
  </cols>
  <sheetData>
    <row r="1" spans="1:9" ht="32.25" thickBot="1" x14ac:dyDescent="0.35">
      <c r="A1" s="12" t="s">
        <v>50</v>
      </c>
      <c r="B1" s="12"/>
      <c r="C1" s="12"/>
      <c r="D1" s="12"/>
      <c r="E1" s="12"/>
      <c r="F1" s="12"/>
      <c r="G1" s="7"/>
      <c r="H1" s="6"/>
      <c r="I1" s="29" t="s">
        <v>94</v>
      </c>
    </row>
    <row r="2" spans="1:9" ht="17.25" thickTop="1" thickBot="1" x14ac:dyDescent="0.35">
      <c r="A2" s="28" t="s">
        <v>62</v>
      </c>
      <c r="B2" s="28" t="s">
        <v>3</v>
      </c>
      <c r="C2" s="28" t="s">
        <v>87</v>
      </c>
      <c r="D2" s="28" t="s">
        <v>88</v>
      </c>
      <c r="E2" s="28" t="s">
        <v>64</v>
      </c>
      <c r="F2" s="28" t="s">
        <v>65</v>
      </c>
      <c r="G2" s="28" t="s">
        <v>66</v>
      </c>
      <c r="H2" s="28" t="s">
        <v>93</v>
      </c>
      <c r="I2" t="str">
        <f>_xlfn.CONCAT(Code!A4,'Table Builder'!B1,Code!B4,'Table Builder'!D1:H1,Code!C4)</f>
        <v>CREATE TABLE  . (</v>
      </c>
    </row>
    <row r="3" spans="1:9" ht="16.5" thickTop="1" x14ac:dyDescent="0.3">
      <c r="A3" t="str">
        <f>IF(ISBLANK('Table Builder'!A8), "", 'Table Builder'!A8)</f>
        <v/>
      </c>
      <c r="B3" t="str">
        <f>SUBSTITUTE(IF(ISNUMBER(MATCH('Table Builder'!B8,Lists!$I$2:$I$7,0)), _xlfn.CONCAT('Table Builder'!B8, "(", 'Table Builder'!C8, ") "), IF(ISNUMBER(MATCH('Table Builder'!B8, Lists!$G$2:$G$7,0)), _xlfn.CONCAT('Table Builder'!B8, "(", 'Table Builder'!C8, ", ", 'Table Builder'!D8, ")"), 'Table Builder'!B8)), "$", "")</f>
        <v/>
      </c>
      <c r="C3" t="str">
        <f>IF(ISBLANK('Table Builder'!E8), "", 'Table Builder'!E8)</f>
        <v/>
      </c>
      <c r="D3" t="str">
        <f>IF(ISBLANK('Table Builder'!F8),"",_xlfn.CONCAT("DEFAULT ",'Table Builder'!F8))</f>
        <v/>
      </c>
      <c r="E3" t="str">
        <f>IF(ISBLANK('Table Builder'!G8), "", "P🗝")</f>
        <v/>
      </c>
      <c r="F3" t="str">
        <f>IF(ISBLANK('Table Builder'!H8), "", "F🔑")</f>
        <v/>
      </c>
      <c r="G3" t="str">
        <f>IF(_xlfn.XOR((ISBLANK('For Babler, Ignore'!E3)),(ISBLANK('For Babler, Ignore'!F3))),TRUE,IF(AND((ISBLANK('For Babler, Ignore'!E3)),(ISBLANK('For Babler, Ignore'!F3))),TRUE,_xlfn.CONCAT(E3:F3)))</f>
        <v/>
      </c>
      <c r="H3" s="4" t="str">
        <f>IF('Table Builder'!I8="Yes", "🔍", "")</f>
        <v/>
      </c>
      <c r="I3" t="str">
        <f>_xlfn.CONCAT(A3, " ",B3," ",C3," ",D3)</f>
        <v xml:space="preserve">   </v>
      </c>
    </row>
    <row r="4" spans="1:9" x14ac:dyDescent="0.3">
      <c r="A4" t="str">
        <f>IF(ISBLANK('Table Builder'!A9), "", 'Table Builder'!A9)</f>
        <v/>
      </c>
      <c r="B4" t="str">
        <f>SUBSTITUTE(IF(ISNUMBER(MATCH('Table Builder'!B9,Lists!$I$2:$I$7,0)), _xlfn.CONCAT('Table Builder'!B9, "(", 'Table Builder'!C9, ") "), IF(ISNUMBER(MATCH('Table Builder'!B9, Lists!$G$2:$G$7,0)), _xlfn.CONCAT('Table Builder'!B9, "(", 'Table Builder'!C9, ", ", 'Table Builder'!D9, ")"), 'Table Builder'!B9)), "$", "")</f>
        <v/>
      </c>
      <c r="C4" t="str">
        <f>IF(ISBLANK('Table Builder'!E9), "", 'Table Builder'!E9)</f>
        <v/>
      </c>
      <c r="D4" t="str">
        <f>IF(ISBLANK('Table Builder'!F9),"",_xlfn.CONCAT("DEFAULT ",'Table Builder'!F9))</f>
        <v/>
      </c>
      <c r="E4" t="str">
        <f>IF(ISBLANK('Table Builder'!G9), "", "P🗝")</f>
        <v/>
      </c>
      <c r="F4" t="str">
        <f>IF(ISBLANK('Table Builder'!H9), "", "F🔑")</f>
        <v/>
      </c>
      <c r="G4" t="str">
        <f>IF(_xlfn.XOR((ISBLANK('For Babler, Ignore'!E4)),(ISBLANK('For Babler, Ignore'!F4))),TRUE,IF(AND((ISBLANK('For Babler, Ignore'!E4)),(ISBLANK('For Babler, Ignore'!F4))),TRUE,_xlfn.CONCAT(E4:F4)))</f>
        <v/>
      </c>
      <c r="H4" s="4" t="str">
        <f>IF('Table Builder'!I9="Yes", "🔍", "")</f>
        <v/>
      </c>
      <c r="I4" t="str">
        <f>IF(NOT(ISBLANK('Table Builder'!A9)), _xlfn.CONCAT(", ", A4, " ",B4," ",C4," ",D4), ");")</f>
        <v>);</v>
      </c>
    </row>
    <row r="5" spans="1:9" x14ac:dyDescent="0.3">
      <c r="A5" t="str">
        <f>IF(ISBLANK('Table Builder'!A10), "", 'Table Builder'!A10)</f>
        <v/>
      </c>
      <c r="B5" t="str">
        <f>SUBSTITUTE(IF(ISNUMBER(MATCH('Table Builder'!B10,Lists!$I$2:$I$7,0)), _xlfn.CONCAT('Table Builder'!B10, "(", 'Table Builder'!C10, ") "), IF(ISNUMBER(MATCH('Table Builder'!B10, Lists!$G$2:$G$7,0)), _xlfn.CONCAT('Table Builder'!B10, "(", 'Table Builder'!C10, ", ", 'Table Builder'!D10, ")"), 'Table Builder'!B10)), "$", "")</f>
        <v/>
      </c>
      <c r="C5" t="str">
        <f>IF(ISBLANK('Table Builder'!E10), "", 'Table Builder'!E10)</f>
        <v/>
      </c>
      <c r="D5" t="str">
        <f>IF(ISBLANK('Table Builder'!F10),"",_xlfn.CONCAT("DEFAULT ",'Table Builder'!F10))</f>
        <v/>
      </c>
      <c r="E5" t="str">
        <f>IF(ISBLANK('Table Builder'!G10), "", "P🗝")</f>
        <v/>
      </c>
      <c r="F5" t="str">
        <f>IF(ISBLANK('Table Builder'!H10), "", "F🔑")</f>
        <v/>
      </c>
      <c r="G5" t="str">
        <f>IF(_xlfn.XOR((ISBLANK('For Babler, Ignore'!E5)),(ISBLANK('For Babler, Ignore'!F5))),TRUE,IF(AND((ISBLANK('For Babler, Ignore'!E5)),(ISBLANK('For Babler, Ignore'!F5))),TRUE,_xlfn.CONCAT(E5:F5)))</f>
        <v/>
      </c>
      <c r="H5" s="4" t="str">
        <f>IF('Table Builder'!I10="Yes", "🔍", "")</f>
        <v/>
      </c>
      <c r="I5" t="str">
        <f>IF(NOT(ISBLANK('Table Builder'!A10)), _xlfn.CONCAT(", ", A5, " ",B5," ",C5," ",D5), "")</f>
        <v/>
      </c>
    </row>
    <row r="6" spans="1:9" x14ac:dyDescent="0.3">
      <c r="A6" t="str">
        <f>IF(ISBLANK('Table Builder'!A11), "", 'Table Builder'!A11)</f>
        <v/>
      </c>
      <c r="B6" t="str">
        <f>SUBSTITUTE(IF(ISNUMBER(MATCH('Table Builder'!B11,Lists!$I$2:$I$7,0)), _xlfn.CONCAT('Table Builder'!B11, "(", 'Table Builder'!C11, ") "), IF(ISNUMBER(MATCH('Table Builder'!B11, Lists!$G$2:$G$7,0)), _xlfn.CONCAT('Table Builder'!B11, "(", 'Table Builder'!C11, ", ", 'Table Builder'!D11, ")"), 'Table Builder'!B11)), "$", "")</f>
        <v/>
      </c>
      <c r="C6" t="str">
        <f>IF(ISBLANK('Table Builder'!E11), "", 'Table Builder'!E11)</f>
        <v/>
      </c>
      <c r="D6" t="str">
        <f>IF(ISBLANK('Table Builder'!F11),"",_xlfn.CONCAT("DEFAULT ",'Table Builder'!F11))</f>
        <v/>
      </c>
      <c r="E6" t="str">
        <f>IF(ISBLANK('Table Builder'!G11), "", "P🗝")</f>
        <v/>
      </c>
      <c r="F6" t="str">
        <f>IF(ISBLANK('Table Builder'!H11), "", "F🔑")</f>
        <v/>
      </c>
      <c r="G6" t="str">
        <f>IF(_xlfn.XOR((ISBLANK('For Babler, Ignore'!E6)),(ISBLANK('For Babler, Ignore'!F6))),TRUE,IF(AND((ISBLANK('For Babler, Ignore'!E6)),(ISBLANK('For Babler, Ignore'!F6))),TRUE,_xlfn.CONCAT(E6:F6)))</f>
        <v/>
      </c>
      <c r="H6" s="4" t="str">
        <f>IF('Table Builder'!I11="Yes", "🔍", "")</f>
        <v/>
      </c>
      <c r="I6" t="str">
        <f>IF(NOT(ISBLANK('Table Builder'!A11)), _xlfn.CONCAT(", ", A6, " ",B6," ",C6," ",D6), "")</f>
        <v/>
      </c>
    </row>
    <row r="7" spans="1:9" x14ac:dyDescent="0.3">
      <c r="A7" t="str">
        <f>IF(ISBLANK('Table Builder'!A12), "", 'Table Builder'!A12)</f>
        <v/>
      </c>
      <c r="B7" t="str">
        <f>SUBSTITUTE(IF(ISNUMBER(MATCH('Table Builder'!B12,Lists!$I$2:$I$7,0)), _xlfn.CONCAT('Table Builder'!B12, "(", 'Table Builder'!C12, ") "), IF(ISNUMBER(MATCH('Table Builder'!B12, Lists!$G$2:$G$7,0)), _xlfn.CONCAT('Table Builder'!B12, "(", 'Table Builder'!C12, ", ", 'Table Builder'!D12, ")"), 'Table Builder'!B12)), "$", "")</f>
        <v/>
      </c>
      <c r="C7" t="str">
        <f>IF(ISBLANK('Table Builder'!E12), "", 'Table Builder'!E12)</f>
        <v/>
      </c>
      <c r="D7" t="str">
        <f>IF(ISBLANK('Table Builder'!F12),"",_xlfn.CONCAT("DEFAULT ",'Table Builder'!F12))</f>
        <v/>
      </c>
      <c r="E7" t="str">
        <f>IF(ISBLANK('Table Builder'!G12), "", "P🗝")</f>
        <v/>
      </c>
      <c r="F7" t="str">
        <f>IF(ISBLANK('Table Builder'!H12), "", "F🔑")</f>
        <v/>
      </c>
      <c r="G7" t="str">
        <f>IF(_xlfn.XOR((ISBLANK('For Babler, Ignore'!E7)),(ISBLANK('For Babler, Ignore'!F7))),TRUE,IF(AND((ISBLANK('For Babler, Ignore'!E7)),(ISBLANK('For Babler, Ignore'!F7))),TRUE,_xlfn.CONCAT(E7:F7)))</f>
        <v/>
      </c>
      <c r="H7" s="4" t="str">
        <f>IF('Table Builder'!I12="Yes", "🔍", "")</f>
        <v/>
      </c>
      <c r="I7" t="str">
        <f>IF(NOT(ISBLANK('Table Builder'!A12)), _xlfn.CONCAT(", ", A7, " ",B7," ",C7," ",D7), "")</f>
        <v/>
      </c>
    </row>
    <row r="8" spans="1:9" x14ac:dyDescent="0.3">
      <c r="A8" t="str">
        <f>IF(ISBLANK('Table Builder'!A13), "", 'Table Builder'!A13)</f>
        <v/>
      </c>
      <c r="B8" t="str">
        <f>SUBSTITUTE(IF(ISNUMBER(MATCH('Table Builder'!B13,Lists!$I$2:$I$7,0)), _xlfn.CONCAT('Table Builder'!B13, "(", 'Table Builder'!C13, ") "), IF(ISNUMBER(MATCH('Table Builder'!B13, Lists!$G$2:$G$7,0)), _xlfn.CONCAT('Table Builder'!B13, "(", 'Table Builder'!C13, ", ", 'Table Builder'!D13, ")"), 'Table Builder'!B13)), "$", "")</f>
        <v/>
      </c>
      <c r="C8" t="str">
        <f>IF(ISBLANK('Table Builder'!E13), "", 'Table Builder'!E13)</f>
        <v/>
      </c>
      <c r="D8" t="str">
        <f>IF(ISBLANK('Table Builder'!F13),"",_xlfn.CONCAT("DEFAULT ",'Table Builder'!F13))</f>
        <v/>
      </c>
      <c r="E8" t="str">
        <f>IF(ISBLANK('Table Builder'!G13), "", "P🗝")</f>
        <v/>
      </c>
      <c r="F8" t="str">
        <f>IF(ISBLANK('Table Builder'!H13), "", "F🔑")</f>
        <v/>
      </c>
      <c r="G8" t="str">
        <f>IF(_xlfn.XOR((ISBLANK('For Babler, Ignore'!E8)),(ISBLANK('For Babler, Ignore'!F8))),TRUE,IF(AND((ISBLANK('For Babler, Ignore'!E8)),(ISBLANK('For Babler, Ignore'!F8))),TRUE,_xlfn.CONCAT(E8:F8)))</f>
        <v/>
      </c>
      <c r="H8" s="4" t="str">
        <f>IF('Table Builder'!I13="Yes", "🔍", "")</f>
        <v/>
      </c>
      <c r="I8" t="str">
        <f>IF(NOT(ISBLANK('Table Builder'!A13)), _xlfn.CONCAT(", ", A8, " ",B8," ",C8," ",D8), "")</f>
        <v/>
      </c>
    </row>
    <row r="9" spans="1:9" x14ac:dyDescent="0.3">
      <c r="A9" t="str">
        <f>IF(ISBLANK('Table Builder'!A14), "", 'Table Builder'!A14)</f>
        <v/>
      </c>
      <c r="B9" t="str">
        <f>SUBSTITUTE(IF(ISNUMBER(MATCH('Table Builder'!B14,Lists!$I$2:$I$7,0)), _xlfn.CONCAT('Table Builder'!B14, "(", 'Table Builder'!C14, ") "), IF(ISNUMBER(MATCH('Table Builder'!B14, Lists!$G$2:$G$7,0)), _xlfn.CONCAT('Table Builder'!B14, "(", 'Table Builder'!C14, ", ", 'Table Builder'!D14, ")"), 'Table Builder'!B14)), "$", "")</f>
        <v/>
      </c>
      <c r="C9" t="str">
        <f>IF(ISBLANK('Table Builder'!E14), "", 'Table Builder'!E14)</f>
        <v/>
      </c>
      <c r="D9" t="str">
        <f>IF(ISBLANK('Table Builder'!F14),"",_xlfn.CONCAT("DEFAULT ",'Table Builder'!F14))</f>
        <v/>
      </c>
      <c r="E9" t="str">
        <f>IF(ISBLANK('Table Builder'!G14), "", "P🗝")</f>
        <v/>
      </c>
      <c r="F9" t="str">
        <f>IF(ISBLANK('Table Builder'!H14), "", "F🔑")</f>
        <v/>
      </c>
      <c r="G9" t="str">
        <f>IF(_xlfn.XOR((ISBLANK('For Babler, Ignore'!E9)),(ISBLANK('For Babler, Ignore'!F9))),TRUE,IF(AND((ISBLANK('For Babler, Ignore'!E9)),(ISBLANK('For Babler, Ignore'!F9))),TRUE,_xlfn.CONCAT(E9:F9)))</f>
        <v/>
      </c>
      <c r="H9" s="4" t="str">
        <f>IF('Table Builder'!I14="Yes", "🔍", "")</f>
        <v/>
      </c>
      <c r="I9" t="str">
        <f>IF(NOT(ISBLANK('Table Builder'!A14)), _xlfn.CONCAT(", ", A9, " ",B9," ",C9," ",D9), "")</f>
        <v/>
      </c>
    </row>
    <row r="10" spans="1:9" x14ac:dyDescent="0.3">
      <c r="A10" t="str">
        <f>IF(ISBLANK('Table Builder'!A15), "", 'Table Builder'!A15)</f>
        <v/>
      </c>
      <c r="B10" t="str">
        <f>SUBSTITUTE(IF(ISNUMBER(MATCH('Table Builder'!B15,Lists!$I$2:$I$7,0)), _xlfn.CONCAT('Table Builder'!B15, "(", 'Table Builder'!C15, ") "), IF(ISNUMBER(MATCH('Table Builder'!B15, Lists!$G$2:$G$7,0)), _xlfn.CONCAT('Table Builder'!B15, "(", 'Table Builder'!C15, ", ", 'Table Builder'!D15, ")"), 'Table Builder'!B15)), "$", "")</f>
        <v/>
      </c>
      <c r="C10" t="str">
        <f>IF(ISBLANK('Table Builder'!E15), "", 'Table Builder'!E15)</f>
        <v/>
      </c>
      <c r="D10" t="str">
        <f>IF(ISBLANK('Table Builder'!F15),"",_xlfn.CONCAT("DEFAULT ",'Table Builder'!F15))</f>
        <v/>
      </c>
      <c r="E10" t="str">
        <f>IF(ISBLANK('Table Builder'!G15), "", "P🗝")</f>
        <v/>
      </c>
      <c r="F10" t="str">
        <f>IF(ISBLANK('Table Builder'!H15), "", "F🔑")</f>
        <v/>
      </c>
      <c r="G10" t="str">
        <f>IF(_xlfn.XOR((ISBLANK('For Babler, Ignore'!E10)),(ISBLANK('For Babler, Ignore'!F10))),TRUE,IF(AND((ISBLANK('For Babler, Ignore'!E10)),(ISBLANK('For Babler, Ignore'!F10))),TRUE,_xlfn.CONCAT(E10:F10)))</f>
        <v/>
      </c>
      <c r="H10" s="4" t="str">
        <f>IF('Table Builder'!I15="Yes", "🔍", "")</f>
        <v/>
      </c>
      <c r="I10" t="str">
        <f>IF(NOT(ISBLANK('Table Builder'!A15)), _xlfn.CONCAT(", ", A10, " ",B10," ",C10," ",D10), "")</f>
        <v/>
      </c>
    </row>
    <row r="11" spans="1:9" x14ac:dyDescent="0.3">
      <c r="A11" t="str">
        <f>IF(ISBLANK('Table Builder'!A16), "", 'Table Builder'!A16)</f>
        <v/>
      </c>
      <c r="B11" t="str">
        <f>SUBSTITUTE(IF(ISNUMBER(MATCH('Table Builder'!B16,Lists!$I$2:$I$7,0)), _xlfn.CONCAT('Table Builder'!B16, "(", 'Table Builder'!C16, ") "), IF(ISNUMBER(MATCH('Table Builder'!B16, Lists!$G$2:$G$7,0)), _xlfn.CONCAT('Table Builder'!B16, "(", 'Table Builder'!C16, ", ", 'Table Builder'!D16, ")"), 'Table Builder'!B16)), "$", "")</f>
        <v/>
      </c>
      <c r="C11" t="str">
        <f>IF(ISBLANK('Table Builder'!E16), "", 'Table Builder'!E16)</f>
        <v/>
      </c>
      <c r="D11" t="str">
        <f>IF(ISBLANK('Table Builder'!F16),"",_xlfn.CONCAT("DEFAULT ",'Table Builder'!F16))</f>
        <v/>
      </c>
      <c r="E11" t="str">
        <f>IF(ISBLANK('Table Builder'!G16), "", "P🗝")</f>
        <v/>
      </c>
      <c r="F11" t="str">
        <f>IF(ISBLANK('Table Builder'!H16), "", "F🔑")</f>
        <v/>
      </c>
      <c r="G11" t="str">
        <f>IF(_xlfn.XOR((ISBLANK('For Babler, Ignore'!E11)),(ISBLANK('For Babler, Ignore'!F11))),TRUE,IF(AND((ISBLANK('For Babler, Ignore'!E11)),(ISBLANK('For Babler, Ignore'!F11))),TRUE,_xlfn.CONCAT(E11:F11)))</f>
        <v/>
      </c>
      <c r="H11" s="4" t="str">
        <f>IF('Table Builder'!I16="Yes", "🔍", "")</f>
        <v/>
      </c>
      <c r="I11" t="str">
        <f>IF(NOT(ISBLANK('Table Builder'!A16)), _xlfn.CONCAT(", ", A11, " ",B11," ",C11," ",D11), "")</f>
        <v/>
      </c>
    </row>
    <row r="12" spans="1:9" x14ac:dyDescent="0.3">
      <c r="A12" t="str">
        <f>IF(ISBLANK('Table Builder'!A17), "", 'Table Builder'!A17)</f>
        <v/>
      </c>
      <c r="B12" t="str">
        <f>SUBSTITUTE(IF(ISNUMBER(MATCH('Table Builder'!B17,Lists!$I$2:$I$7,0)), _xlfn.CONCAT('Table Builder'!B17, "(", 'Table Builder'!C17, ") "), IF(ISNUMBER(MATCH('Table Builder'!B17, Lists!$G$2:$G$7,0)), _xlfn.CONCAT('Table Builder'!B17, "(", 'Table Builder'!C17, ", ", 'Table Builder'!D17, ")"), 'Table Builder'!B17)), "$", "")</f>
        <v/>
      </c>
      <c r="C12" t="str">
        <f>IF(ISBLANK('Table Builder'!E17), "", 'Table Builder'!E17)</f>
        <v/>
      </c>
      <c r="D12" t="str">
        <f>IF(ISBLANK('Table Builder'!F17),"",_xlfn.CONCAT("DEFAULT ",'Table Builder'!F17))</f>
        <v/>
      </c>
      <c r="E12" t="str">
        <f>IF(ISBLANK('Table Builder'!G17), "", "P🗝")</f>
        <v/>
      </c>
      <c r="F12" t="str">
        <f>IF(ISBLANK('Table Builder'!H17), "", "F🔑")</f>
        <v/>
      </c>
      <c r="G12" t="str">
        <f>IF(_xlfn.XOR((ISBLANK('For Babler, Ignore'!E12)),(ISBLANK('For Babler, Ignore'!F12))),TRUE,IF(AND((ISBLANK('For Babler, Ignore'!E12)),(ISBLANK('For Babler, Ignore'!F12))),TRUE,_xlfn.CONCAT(E12:F12)))</f>
        <v/>
      </c>
      <c r="H12" s="4" t="str">
        <f>IF('Table Builder'!I17="Yes", "🔍", "")</f>
        <v/>
      </c>
    </row>
    <row r="13" spans="1:9" x14ac:dyDescent="0.3">
      <c r="A13" t="str">
        <f>IF(ISBLANK('Table Builder'!A18), "", 'Table Builder'!A18)</f>
        <v/>
      </c>
      <c r="B13" t="str">
        <f>SUBSTITUTE(IF(ISNUMBER(MATCH('Table Builder'!B18,Lists!$I$2:$I$7,0)), _xlfn.CONCAT('Table Builder'!B18, "(", 'Table Builder'!C18, ") "), IF(ISNUMBER(MATCH('Table Builder'!B18, Lists!$G$2:$G$7,0)), _xlfn.CONCAT('Table Builder'!B18, "(", 'Table Builder'!C18, ", ", 'Table Builder'!D18, ")"), 'Table Builder'!B18)), "$", "")</f>
        <v/>
      </c>
      <c r="C13" t="str">
        <f>IF(ISBLANK('Table Builder'!E18), "", 'Table Builder'!E18)</f>
        <v/>
      </c>
      <c r="D13" t="str">
        <f>IF(ISBLANK('Table Builder'!F18),"",_xlfn.CONCAT("DEFAULT ",'Table Builder'!F18))</f>
        <v/>
      </c>
      <c r="E13" t="str">
        <f>IF(ISBLANK('Table Builder'!G18), "", "P🗝")</f>
        <v/>
      </c>
      <c r="F13" t="str">
        <f>IF(ISBLANK('Table Builder'!H18), "", "F🔑")</f>
        <v/>
      </c>
      <c r="G13" t="str">
        <f>IF(_xlfn.XOR((ISBLANK('For Babler, Ignore'!E13)),(ISBLANK('For Babler, Ignore'!F13))),TRUE,IF(AND((ISBLANK('For Babler, Ignore'!E13)),(ISBLANK('For Babler, Ignore'!F13))),TRUE,_xlfn.CONCAT(E13:F13)))</f>
        <v/>
      </c>
      <c r="H13" s="4" t="str">
        <f>IF('Table Builder'!I18="Yes", "🔍", "")</f>
        <v/>
      </c>
      <c r="I13" t="str">
        <f>IF(NOT(ISBLANK('Table Builder'!A18)), _xlfn.CONCAT(", ", A13, " ",B13," ",C13," ",D13), "")</f>
        <v/>
      </c>
    </row>
    <row r="14" spans="1:9" x14ac:dyDescent="0.3">
      <c r="A14" t="str">
        <f>IF(ISBLANK('Table Builder'!A19), "", 'Table Builder'!A19)</f>
        <v/>
      </c>
      <c r="B14" t="str">
        <f>SUBSTITUTE(IF(ISNUMBER(MATCH('Table Builder'!B19,Lists!$I$2:$I$7,0)), _xlfn.CONCAT('Table Builder'!B19, "(", 'Table Builder'!C19, ") "), IF(ISNUMBER(MATCH('Table Builder'!B19, Lists!$G$2:$G$7,0)), _xlfn.CONCAT('Table Builder'!B19, "(", 'Table Builder'!C19, ", ", 'Table Builder'!D19, ")"), 'Table Builder'!B19)), "$", "")</f>
        <v/>
      </c>
      <c r="C14" t="str">
        <f>IF(ISBLANK('Table Builder'!E19), "", 'Table Builder'!E19)</f>
        <v/>
      </c>
      <c r="D14" t="str">
        <f>IF(ISBLANK('Table Builder'!F19),"",_xlfn.CONCAT("DEFAULT ",'Table Builder'!F19))</f>
        <v/>
      </c>
      <c r="E14" t="str">
        <f>IF(ISBLANK('Table Builder'!G19), "", "P🗝")</f>
        <v/>
      </c>
      <c r="F14" t="str">
        <f>IF(ISBLANK('Table Builder'!H19), "", "F🔑")</f>
        <v/>
      </c>
      <c r="G14" t="str">
        <f>IF(_xlfn.XOR((ISBLANK('For Babler, Ignore'!E14)),(ISBLANK('For Babler, Ignore'!F14))),TRUE,IF(AND((ISBLANK('For Babler, Ignore'!E14)),(ISBLANK('For Babler, Ignore'!F14))),TRUE,_xlfn.CONCAT(E14:F14)))</f>
        <v/>
      </c>
      <c r="H14" s="4" t="str">
        <f>IF('Table Builder'!I19="Yes", "🔍", "")</f>
        <v/>
      </c>
    </row>
    <row r="15" spans="1:9" x14ac:dyDescent="0.3">
      <c r="A15" t="str">
        <f>IF(ISBLANK('Table Builder'!A20), "", 'Table Builder'!A20)</f>
        <v/>
      </c>
      <c r="B15" t="str">
        <f>SUBSTITUTE(IF(ISNUMBER(MATCH('Table Builder'!B20,Lists!$I$2:$I$7,0)), _xlfn.CONCAT('Table Builder'!B20, "(", 'Table Builder'!C20, ") "), IF(ISNUMBER(MATCH('Table Builder'!B20, Lists!$G$2:$G$7,0)), _xlfn.CONCAT('Table Builder'!B20, "(", 'Table Builder'!C20, ", ", 'Table Builder'!D20, ")"), 'Table Builder'!B20)), "$", "")</f>
        <v/>
      </c>
      <c r="C15" t="str">
        <f>IF(ISBLANK('Table Builder'!E20), "", 'Table Builder'!E20)</f>
        <v/>
      </c>
      <c r="D15" t="str">
        <f>IF(ISBLANK('Table Builder'!F20),"",_xlfn.CONCAT("DEFAULT ",'Table Builder'!F20))</f>
        <v/>
      </c>
      <c r="E15" t="str">
        <f>IF(ISBLANK('Table Builder'!G20), "", "P🗝")</f>
        <v/>
      </c>
      <c r="F15" t="str">
        <f>IF(ISBLANK('Table Builder'!H20), "", "F🔑")</f>
        <v/>
      </c>
      <c r="G15" t="str">
        <f>IF(_xlfn.XOR((ISBLANK('For Babler, Ignore'!E15)),(ISBLANK('For Babler, Ignore'!F15))),TRUE,IF(AND((ISBLANK('For Babler, Ignore'!E15)),(ISBLANK('For Babler, Ignore'!F15))),TRUE,_xlfn.CONCAT(E15:F15)))</f>
        <v/>
      </c>
      <c r="H15" s="4" t="str">
        <f>IF('Table Builder'!I20="Yes", "🔍", "")</f>
        <v/>
      </c>
      <c r="I15" t="str">
        <f>IF(NOT(ISBLANK('Table Builder'!A20)), _xlfn.CONCAT(", ", A15, " ",B15," ",C15," ",D15), "")</f>
        <v/>
      </c>
    </row>
    <row r="16" spans="1:9" x14ac:dyDescent="0.3">
      <c r="A16" t="str">
        <f>IF(ISBLANK('Table Builder'!A21), "", 'Table Builder'!A21)</f>
        <v/>
      </c>
      <c r="B16" t="str">
        <f>SUBSTITUTE(IF(ISNUMBER(MATCH('Table Builder'!B21,Lists!$I$2:$I$7,0)), _xlfn.CONCAT('Table Builder'!B21, "(", 'Table Builder'!C21, ") "), IF(ISNUMBER(MATCH('Table Builder'!B21, Lists!$G$2:$G$7,0)), _xlfn.CONCAT('Table Builder'!B21, "(", 'Table Builder'!C21, ", ", 'Table Builder'!D21, ")"), 'Table Builder'!B21)), "$", "")</f>
        <v/>
      </c>
      <c r="C16" t="str">
        <f>IF(ISBLANK('Table Builder'!E21), "", 'Table Builder'!E21)</f>
        <v/>
      </c>
      <c r="D16" t="str">
        <f>IF(ISBLANK('Table Builder'!F21),"",_xlfn.CONCAT("DEFAULT ",'Table Builder'!F21))</f>
        <v/>
      </c>
      <c r="E16" t="str">
        <f>IF(ISBLANK('Table Builder'!G21), "", "P🗝")</f>
        <v/>
      </c>
      <c r="F16" t="str">
        <f>IF(ISBLANK('Table Builder'!H21), "", "F🔑")</f>
        <v/>
      </c>
      <c r="G16" t="str">
        <f>IF(_xlfn.XOR((ISBLANK('For Babler, Ignore'!E16)),(ISBLANK('For Babler, Ignore'!F16))),TRUE,IF(AND((ISBLANK('For Babler, Ignore'!E16)),(ISBLANK('For Babler, Ignore'!F16))),TRUE,_xlfn.CONCAT(E16:F16)))</f>
        <v/>
      </c>
      <c r="H16" s="4" t="str">
        <f>IF('Table Builder'!I21="Yes", "🔍", "")</f>
        <v/>
      </c>
      <c r="I16" t="str">
        <f>IF(NOT(ISBLANK('Table Builder'!A21)), _xlfn.CONCAT(", ", A16, " ",B16," ",C16," ",D16), "")</f>
        <v/>
      </c>
    </row>
    <row r="17" spans="1:9" x14ac:dyDescent="0.3">
      <c r="A17" t="str">
        <f>IF(ISBLANK('Table Builder'!A22), "", 'Table Builder'!A22)</f>
        <v/>
      </c>
      <c r="B17" t="str">
        <f>SUBSTITUTE(IF(ISNUMBER(MATCH('Table Builder'!B22,Lists!$I$2:$I$7,0)), _xlfn.CONCAT('Table Builder'!B22, "(", 'Table Builder'!C22, ") "), IF(ISNUMBER(MATCH('Table Builder'!B22, Lists!$G$2:$G$7,0)), _xlfn.CONCAT('Table Builder'!B22, "(", 'Table Builder'!C22, ", ", 'Table Builder'!D22, ")"), 'Table Builder'!B22)), "$", "")</f>
        <v/>
      </c>
      <c r="C17" t="str">
        <f>IF(ISBLANK('Table Builder'!E22), "", 'Table Builder'!E22)</f>
        <v/>
      </c>
      <c r="D17" t="str">
        <f>IF(ISBLANK('Table Builder'!F22),"",_xlfn.CONCAT("DEFAULT ",'Table Builder'!F22))</f>
        <v/>
      </c>
      <c r="E17" t="str">
        <f>IF(ISBLANK('Table Builder'!G22), "", "P🗝")</f>
        <v/>
      </c>
      <c r="F17" t="str">
        <f>IF(ISBLANK('Table Builder'!H22), "", "F🔑")</f>
        <v/>
      </c>
      <c r="G17" t="str">
        <f>IF(_xlfn.XOR((ISBLANK('For Babler, Ignore'!E17)),(ISBLANK('For Babler, Ignore'!F17))),TRUE,IF(AND((ISBLANK('For Babler, Ignore'!E17)),(ISBLANK('For Babler, Ignore'!F17))),TRUE,_xlfn.CONCAT(E17:F17)))</f>
        <v/>
      </c>
      <c r="H17" s="4" t="str">
        <f>IF('Table Builder'!I22="Yes", "🔍", "")</f>
        <v/>
      </c>
      <c r="I17" t="str">
        <f>IF(NOT(ISBLANK('Table Builder'!A22)), _xlfn.CONCAT(", ", A17, " ",B17," ",C17," ",D17), "")</f>
        <v/>
      </c>
    </row>
    <row r="18" spans="1:9" x14ac:dyDescent="0.3">
      <c r="A18" t="str">
        <f>IF(ISBLANK('Table Builder'!A23), "", 'Table Builder'!A23)</f>
        <v/>
      </c>
      <c r="B18" t="str">
        <f>SUBSTITUTE(IF(ISNUMBER(MATCH('Table Builder'!B23,Lists!$I$2:$I$7,0)), _xlfn.CONCAT('Table Builder'!B23, "(", 'Table Builder'!C23, ") "), IF(ISNUMBER(MATCH('Table Builder'!B23, Lists!$G$2:$G$7,0)), _xlfn.CONCAT('Table Builder'!B23, "(", 'Table Builder'!C23, ", ", 'Table Builder'!D23, ")"), 'Table Builder'!B23)), "$", "")</f>
        <v/>
      </c>
      <c r="C18" t="str">
        <f>IF(ISBLANK('Table Builder'!E23), "", 'Table Builder'!E23)</f>
        <v/>
      </c>
      <c r="D18" t="str">
        <f>IF(ISBLANK('Table Builder'!F23),"",_xlfn.CONCAT("DEFAULT ",'Table Builder'!F23))</f>
        <v/>
      </c>
      <c r="E18" t="str">
        <f>IF(ISBLANK('Table Builder'!G23), "", "P🗝")</f>
        <v/>
      </c>
      <c r="F18" t="str">
        <f>IF(ISBLANK('Table Builder'!H23), "", "F🔑")</f>
        <v/>
      </c>
      <c r="G18" t="str">
        <f>IF(_xlfn.XOR((ISBLANK('For Babler, Ignore'!E18)),(ISBLANK('For Babler, Ignore'!F18))),TRUE,IF(AND((ISBLANK('For Babler, Ignore'!E18)),(ISBLANK('For Babler, Ignore'!F18))),TRUE,_xlfn.CONCAT(E18:F18)))</f>
        <v/>
      </c>
      <c r="H18" s="4" t="str">
        <f>IF('Table Builder'!I23="Yes", "🔍", "")</f>
        <v/>
      </c>
      <c r="I18" t="str">
        <f>IF(NOT(ISBLANK('Table Builder'!A23)), _xlfn.CONCAT(", ", A18, " ",B18," ",C18," ",D18), "")</f>
        <v/>
      </c>
    </row>
    <row r="19" spans="1:9" x14ac:dyDescent="0.3">
      <c r="A19" t="str">
        <f>IF(ISBLANK('Table Builder'!A24), "", 'Table Builder'!A24)</f>
        <v/>
      </c>
      <c r="B19" t="str">
        <f>SUBSTITUTE(IF(ISNUMBER(MATCH('Table Builder'!B24,Lists!$I$2:$I$7,0)), _xlfn.CONCAT('Table Builder'!B24, "(", 'Table Builder'!C24, ") "), IF(ISNUMBER(MATCH('Table Builder'!B24, Lists!$G$2:$G$7,0)), _xlfn.CONCAT('Table Builder'!B24, "(", 'Table Builder'!C24, ", ", 'Table Builder'!D24, ")"), 'Table Builder'!B24)), "$", "")</f>
        <v/>
      </c>
      <c r="C19" t="str">
        <f>IF(ISBLANK('Table Builder'!E24), "", 'Table Builder'!E24)</f>
        <v/>
      </c>
      <c r="D19" t="str">
        <f>IF(ISBLANK('Table Builder'!F24),"",_xlfn.CONCAT("DEFAULT ",'Table Builder'!F24))</f>
        <v/>
      </c>
      <c r="E19" t="str">
        <f>IF(ISBLANK('Table Builder'!G24), "", "P🗝")</f>
        <v/>
      </c>
      <c r="F19" t="str">
        <f>IF(ISBLANK('Table Builder'!H24), "", "F🔑")</f>
        <v/>
      </c>
      <c r="G19" t="str">
        <f>IF(_xlfn.XOR((ISBLANK('For Babler, Ignore'!E19)),(ISBLANK('For Babler, Ignore'!F19))),TRUE,IF(AND((ISBLANK('For Babler, Ignore'!E19)),(ISBLANK('For Babler, Ignore'!F19))),TRUE,_xlfn.CONCAT(E19:F19)))</f>
        <v/>
      </c>
      <c r="H19" s="4" t="str">
        <f>IF('Table Builder'!I24="Yes", "🔍", "")</f>
        <v/>
      </c>
      <c r="I19" t="str">
        <f>IF(NOT(ISBLANK('Table Builder'!A24)), _xlfn.CONCAT(", ", A19, " ",B19," ",C19," ",D19), "")</f>
        <v/>
      </c>
    </row>
    <row r="20" spans="1:9" x14ac:dyDescent="0.3">
      <c r="A20" t="str">
        <f>IF(ISBLANK('Table Builder'!A25), "", 'Table Builder'!A25)</f>
        <v/>
      </c>
      <c r="B20" t="str">
        <f>SUBSTITUTE(IF(ISNUMBER(MATCH('Table Builder'!B25,Lists!$I$2:$I$7,0)), _xlfn.CONCAT('Table Builder'!B25, "(", 'Table Builder'!C25, ") "), IF(ISNUMBER(MATCH('Table Builder'!B25, Lists!$G$2:$G$7,0)), _xlfn.CONCAT('Table Builder'!B25, "(", 'Table Builder'!C25, ", ", 'Table Builder'!D25, ")"), 'Table Builder'!B25)), "$", "")</f>
        <v/>
      </c>
      <c r="C20" t="str">
        <f>IF(ISBLANK('Table Builder'!E25), "", 'Table Builder'!E25)</f>
        <v/>
      </c>
      <c r="D20" t="str">
        <f>IF(ISBLANK('Table Builder'!F25),"",_xlfn.CONCAT("DEFAULT ",'Table Builder'!F25))</f>
        <v/>
      </c>
      <c r="E20" t="str">
        <f>IF(ISBLANK('Table Builder'!G25), "", "P🗝")</f>
        <v/>
      </c>
      <c r="F20" t="str">
        <f>IF(ISBLANK('Table Builder'!H25), "", "F🔑")</f>
        <v/>
      </c>
      <c r="G20" t="str">
        <f>IF(_xlfn.XOR((ISBLANK('For Babler, Ignore'!E20)),(ISBLANK('For Babler, Ignore'!F20))),TRUE,IF(AND((ISBLANK('For Babler, Ignore'!E20)),(ISBLANK('For Babler, Ignore'!F20))),TRUE,_xlfn.CONCAT(E20:F20)))</f>
        <v/>
      </c>
      <c r="H20" s="4" t="str">
        <f>IF('Table Builder'!I25="Yes", "🔍", "")</f>
        <v/>
      </c>
      <c r="I20" t="str">
        <f>IF(NOT(ISBLANK('Table Builder'!A25)), _xlfn.CONCAT(", ", A20, " ",B20," ",C20," ",D20), "")</f>
        <v/>
      </c>
    </row>
    <row r="21" spans="1:9" x14ac:dyDescent="0.3">
      <c r="A21" t="str">
        <f>IF(ISBLANK('Table Builder'!A26), "", 'Table Builder'!A26)</f>
        <v/>
      </c>
      <c r="B21" t="str">
        <f>SUBSTITUTE(IF(ISNUMBER(MATCH('Table Builder'!B26,Lists!$I$2:$I$7,0)), _xlfn.CONCAT('Table Builder'!B26, "(", 'Table Builder'!C26, ") "), IF(ISNUMBER(MATCH('Table Builder'!B26, Lists!$G$2:$G$7,0)), _xlfn.CONCAT('Table Builder'!B26, "(", 'Table Builder'!C26, ", ", 'Table Builder'!D26, ")"), 'Table Builder'!B26)), "$", "")</f>
        <v/>
      </c>
      <c r="C21" t="str">
        <f>IF(ISBLANK('Table Builder'!E26), "", 'Table Builder'!E26)</f>
        <v/>
      </c>
      <c r="D21" t="str">
        <f>IF(ISBLANK('Table Builder'!F26),"",_xlfn.CONCAT("DEFAULT ",'Table Builder'!F26))</f>
        <v/>
      </c>
      <c r="E21" t="str">
        <f>IF(ISBLANK('Table Builder'!G26), "", "P🗝")</f>
        <v/>
      </c>
      <c r="F21" t="str">
        <f>IF(ISBLANK('Table Builder'!H26), "", "F🔑")</f>
        <v/>
      </c>
      <c r="G21" t="str">
        <f>IF(_xlfn.XOR((ISBLANK('For Babler, Ignore'!E21)),(ISBLANK('For Babler, Ignore'!F21))),TRUE,IF(AND((ISBLANK('For Babler, Ignore'!E21)),(ISBLANK('For Babler, Ignore'!F21))),TRUE,_xlfn.CONCAT(E21:F21)))</f>
        <v/>
      </c>
      <c r="H21" s="4" t="str">
        <f>IF('Table Builder'!I26="Yes", "🔍", "")</f>
        <v/>
      </c>
      <c r="I21" t="str">
        <f>IF(NOT(ISBLANK('Table Builder'!A26)), _xlfn.CONCAT(", ", A21, " ",B21," ",C21," ",D21), "")</f>
        <v/>
      </c>
    </row>
    <row r="22" spans="1:9" x14ac:dyDescent="0.3">
      <c r="A22" t="str">
        <f>IF(ISBLANK('Table Builder'!A27), "", 'Table Builder'!A27)</f>
        <v/>
      </c>
      <c r="B22" t="str">
        <f>SUBSTITUTE(IF(ISNUMBER(MATCH('Table Builder'!B27,Lists!$I$2:$I$7,0)), _xlfn.CONCAT('Table Builder'!B27, "(", 'Table Builder'!C27, ") "), IF(ISNUMBER(MATCH('Table Builder'!B27, Lists!$G$2:$G$7,0)), _xlfn.CONCAT('Table Builder'!B27, "(", 'Table Builder'!C27, ", ", 'Table Builder'!D27, ")"), 'Table Builder'!B27)), "$", "")</f>
        <v/>
      </c>
      <c r="C22" t="str">
        <f>IF(ISBLANK('Table Builder'!E27), "", 'Table Builder'!E27)</f>
        <v/>
      </c>
      <c r="D22" t="str">
        <f>IF(ISBLANK('Table Builder'!F27),"",_xlfn.CONCAT("DEFAULT ",'Table Builder'!F27))</f>
        <v/>
      </c>
      <c r="E22" t="str">
        <f>IF(ISBLANK('Table Builder'!G27), "", "P🗝")</f>
        <v/>
      </c>
      <c r="F22" t="str">
        <f>IF(ISBLANK('Table Builder'!H27), "", "F🔑")</f>
        <v/>
      </c>
      <c r="G22" t="str">
        <f>IF(_xlfn.XOR((ISBLANK('For Babler, Ignore'!E22)),(ISBLANK('For Babler, Ignore'!F22))),TRUE,IF(AND((ISBLANK('For Babler, Ignore'!E22)),(ISBLANK('For Babler, Ignore'!F22))),TRUE,_xlfn.CONCAT(E22:F22)))</f>
        <v/>
      </c>
      <c r="H22" s="4" t="str">
        <f>IF('Table Builder'!I27="Yes", "🔍", "")</f>
        <v/>
      </c>
      <c r="I22" t="str">
        <f>IF(NOT(ISBLANK('Table Builder'!A27)), _xlfn.CONCAT(", ", A22, " ",B22," ",C22," ",D22), "")</f>
        <v/>
      </c>
    </row>
    <row r="23" spans="1:9" x14ac:dyDescent="0.3">
      <c r="A23" t="str">
        <f>IF(ISBLANK('Table Builder'!A28), "", 'Table Builder'!A28)</f>
        <v/>
      </c>
      <c r="B23" t="str">
        <f>SUBSTITUTE(IF(ISNUMBER(MATCH('Table Builder'!B28,Lists!$I$2:$I$7,0)), _xlfn.CONCAT('Table Builder'!B28, "(", 'Table Builder'!C28, ") "), IF(ISNUMBER(MATCH('Table Builder'!B28, Lists!$G$2:$G$7,0)), _xlfn.CONCAT('Table Builder'!B28, "(", 'Table Builder'!C28, ", ", 'Table Builder'!D28, ")"), 'Table Builder'!B28)), "$", "")</f>
        <v/>
      </c>
      <c r="C23" t="str">
        <f>IF(ISBLANK('Table Builder'!E28), "", 'Table Builder'!E28)</f>
        <v/>
      </c>
      <c r="D23" t="str">
        <f>IF(ISBLANK('Table Builder'!F28),"",_xlfn.CONCAT("DEFAULT ",'Table Builder'!F28))</f>
        <v/>
      </c>
      <c r="E23" t="str">
        <f>IF(ISBLANK('Table Builder'!G28), "", "P🗝")</f>
        <v/>
      </c>
      <c r="F23" t="str">
        <f>IF(ISBLANK('Table Builder'!H28), "", "F🔑")</f>
        <v/>
      </c>
      <c r="G23" t="str">
        <f>IF(_xlfn.XOR((ISBLANK('For Babler, Ignore'!E23)),(ISBLANK('For Babler, Ignore'!F23))),TRUE,IF(AND((ISBLANK('For Babler, Ignore'!E23)),(ISBLANK('For Babler, Ignore'!F23))),TRUE,_xlfn.CONCAT(E23:F23)))</f>
        <v/>
      </c>
      <c r="H23" s="4" t="str">
        <f>IF('Table Builder'!I28="Yes", "🔍", "")</f>
        <v/>
      </c>
      <c r="I23" t="str">
        <f>IF(NOT(ISBLANK('Table Builder'!A28)), _xlfn.CONCAT(", ", A23, " ",B23," ",C23," ",D23), "")</f>
        <v/>
      </c>
    </row>
    <row r="24" spans="1:9" x14ac:dyDescent="0.3">
      <c r="A24" t="str">
        <f>IF(ISBLANK('Table Builder'!A29), "", 'Table Builder'!A29)</f>
        <v/>
      </c>
      <c r="B24" t="str">
        <f>SUBSTITUTE(IF(ISNUMBER(MATCH('Table Builder'!B29,Lists!$I$2:$I$7,0)), _xlfn.CONCAT('Table Builder'!B29, "(", 'Table Builder'!C29, ") "), IF(ISNUMBER(MATCH('Table Builder'!B29, Lists!$G$2:$G$7,0)), _xlfn.CONCAT('Table Builder'!B29, "(", 'Table Builder'!C29, ", ", 'Table Builder'!D29, ")"), 'Table Builder'!B29)), "$", "")</f>
        <v/>
      </c>
      <c r="C24" t="str">
        <f>IF(ISBLANK('Table Builder'!E29), "", 'Table Builder'!E29)</f>
        <v/>
      </c>
      <c r="D24" t="str">
        <f>IF(ISBLANK('Table Builder'!F29),"",_xlfn.CONCAT("DEFAULT ",'Table Builder'!F29))</f>
        <v/>
      </c>
      <c r="E24" t="str">
        <f>IF(ISBLANK('Table Builder'!G29), "", "P🗝")</f>
        <v/>
      </c>
      <c r="F24" t="str">
        <f>IF(ISBLANK('Table Builder'!H29), "", "F🔑")</f>
        <v/>
      </c>
      <c r="G24" t="str">
        <f>IF(_xlfn.XOR((ISBLANK('For Babler, Ignore'!E24)),(ISBLANK('For Babler, Ignore'!F24))),TRUE,IF(AND((ISBLANK('For Babler, Ignore'!E24)),(ISBLANK('For Babler, Ignore'!F24))),TRUE,_xlfn.CONCAT(E24:F24)))</f>
        <v/>
      </c>
      <c r="H24" s="4" t="str">
        <f>IF('Table Builder'!I29="Yes", "🔍", "")</f>
        <v/>
      </c>
      <c r="I24" t="str">
        <f>IF(NOT(ISBLANK('Table Builder'!A29)), _xlfn.CONCAT(", ", A24, " ",B24," ",C24," ",D24), "")</f>
        <v/>
      </c>
    </row>
    <row r="25" spans="1:9" x14ac:dyDescent="0.3">
      <c r="A25" t="str">
        <f>IF(ISBLANK('Table Builder'!A30), "", 'Table Builder'!A30)</f>
        <v/>
      </c>
      <c r="B25" t="str">
        <f>SUBSTITUTE(IF(ISNUMBER(MATCH('Table Builder'!B30,Lists!$I$2:$I$7,0)), _xlfn.CONCAT('Table Builder'!B30, "(", 'Table Builder'!C30, ") "), IF(ISNUMBER(MATCH('Table Builder'!B30, Lists!$G$2:$G$7,0)), _xlfn.CONCAT('Table Builder'!B30, "(", 'Table Builder'!C30, ", ", 'Table Builder'!D30, ")"), 'Table Builder'!B30)), "$", "")</f>
        <v/>
      </c>
      <c r="C25" t="str">
        <f>IF(ISBLANK('Table Builder'!E30), "", 'Table Builder'!E30)</f>
        <v/>
      </c>
      <c r="D25" t="str">
        <f>IF(ISBLANK('Table Builder'!F30),"",_xlfn.CONCAT("DEFAULT ",'Table Builder'!F30))</f>
        <v/>
      </c>
      <c r="E25" t="str">
        <f>IF(ISBLANK('Table Builder'!G30), "", "P🗝")</f>
        <v/>
      </c>
      <c r="F25" t="str">
        <f>IF(ISBLANK('Table Builder'!H30), "", "F🔑")</f>
        <v/>
      </c>
      <c r="G25" t="str">
        <f>IF(_xlfn.XOR((ISBLANK('For Babler, Ignore'!E25)),(ISBLANK('For Babler, Ignore'!F25))),TRUE,IF(AND((ISBLANK('For Babler, Ignore'!E25)),(ISBLANK('For Babler, Ignore'!F25))),TRUE,_xlfn.CONCAT(E25:F25)))</f>
        <v/>
      </c>
      <c r="H25" s="4" t="str">
        <f>IF('Table Builder'!I30="Yes", "🔍", "")</f>
        <v/>
      </c>
      <c r="I25" t="str">
        <f>IF(NOT(ISBLANK('Table Builder'!A30)), _xlfn.CONCAT(", ", A25, " ",B25," ",C25," ",D25), "")</f>
        <v/>
      </c>
    </row>
    <row r="26" spans="1:9" x14ac:dyDescent="0.3">
      <c r="A26" t="str">
        <f>IF(ISBLANK('Table Builder'!A31), "", 'Table Builder'!A31)</f>
        <v/>
      </c>
      <c r="B26" t="str">
        <f>SUBSTITUTE(IF(ISNUMBER(MATCH('Table Builder'!B31,Lists!$I$2:$I$7,0)), _xlfn.CONCAT('Table Builder'!B31, "(", 'Table Builder'!C31, ") "), IF(ISNUMBER(MATCH('Table Builder'!B31, Lists!$G$2:$G$7,0)), _xlfn.CONCAT('Table Builder'!B31, "(", 'Table Builder'!C31, ", ", 'Table Builder'!D31, ")"), 'Table Builder'!B31)), "$", "")</f>
        <v/>
      </c>
      <c r="C26" t="str">
        <f>IF(ISBLANK('Table Builder'!E31), "", 'Table Builder'!E31)</f>
        <v/>
      </c>
      <c r="D26" t="str">
        <f>IF(ISBLANK('Table Builder'!F31),"",_xlfn.CONCAT("DEFAULT ",'Table Builder'!F31))</f>
        <v/>
      </c>
      <c r="E26" t="str">
        <f>IF(ISBLANK('Table Builder'!G31), "", "P🗝")</f>
        <v/>
      </c>
      <c r="F26" t="str">
        <f>IF(ISBLANK('Table Builder'!H31), "", "F🔑")</f>
        <v/>
      </c>
      <c r="G26" t="str">
        <f>IF(_xlfn.XOR((ISBLANK('For Babler, Ignore'!E26)),(ISBLANK('For Babler, Ignore'!F26))),TRUE,IF(AND((ISBLANK('For Babler, Ignore'!E26)),(ISBLANK('For Babler, Ignore'!F26))),TRUE,_xlfn.CONCAT(E26:F26)))</f>
        <v/>
      </c>
      <c r="H26" s="4" t="str">
        <f>IF('Table Builder'!I31="Yes", "🔍", "")</f>
        <v/>
      </c>
      <c r="I26" t="str">
        <f>IF(NOT(ISBLANK('Table Builder'!A31)), _xlfn.CONCAT(", ", A26, " ",B26," ",C26," ",D26), "")</f>
        <v/>
      </c>
    </row>
    <row r="27" spans="1:9" x14ac:dyDescent="0.3">
      <c r="A27" t="str">
        <f>IF(ISBLANK('Table Builder'!A32), "", 'Table Builder'!A32)</f>
        <v/>
      </c>
      <c r="B27" t="str">
        <f>SUBSTITUTE(IF(ISNUMBER(MATCH('Table Builder'!B32,Lists!$I$2:$I$7,0)), _xlfn.CONCAT('Table Builder'!B32, "(", 'Table Builder'!C32, ") "), IF(ISNUMBER(MATCH('Table Builder'!B32, Lists!$G$2:$G$7,0)), _xlfn.CONCAT('Table Builder'!B32, "(", 'Table Builder'!C32, ", ", 'Table Builder'!D32, ")"), 'Table Builder'!B32)), "$", "")</f>
        <v/>
      </c>
      <c r="C27" t="str">
        <f>IF(ISBLANK('Table Builder'!E32), "", 'Table Builder'!E32)</f>
        <v/>
      </c>
      <c r="D27" t="str">
        <f>IF(ISBLANK('Table Builder'!F32),"",_xlfn.CONCAT("DEFAULT ",'Table Builder'!F32))</f>
        <v/>
      </c>
      <c r="E27" t="str">
        <f>IF(ISBLANK('Table Builder'!G32), "", "P🗝")</f>
        <v/>
      </c>
      <c r="F27" t="str">
        <f>IF(ISBLANK('Table Builder'!H32), "", "F🔑")</f>
        <v/>
      </c>
      <c r="G27" t="str">
        <f>IF(_xlfn.XOR((ISBLANK('For Babler, Ignore'!E27)),(ISBLANK('For Babler, Ignore'!F27))),TRUE,IF(AND((ISBLANK('For Babler, Ignore'!E27)),(ISBLANK('For Babler, Ignore'!F27))),TRUE,_xlfn.CONCAT(E27:F27)))</f>
        <v/>
      </c>
      <c r="H27" s="4" t="str">
        <f>IF('Table Builder'!I32="Yes", "🔍", "")</f>
        <v/>
      </c>
      <c r="I27" t="str">
        <f>IF(NOT(ISBLANK('Table Builder'!A32)), _xlfn.CONCAT(", ", A27, " ",B27," ",C27," ",D27), "")</f>
        <v/>
      </c>
    </row>
    <row r="28" spans="1:9" x14ac:dyDescent="0.3">
      <c r="A28" t="str">
        <f>IF(ISBLANK('Table Builder'!A33), "", 'Table Builder'!A33)</f>
        <v/>
      </c>
      <c r="B28" t="str">
        <f>SUBSTITUTE(IF(ISNUMBER(MATCH('Table Builder'!B33,Lists!$I$2:$I$7,0)), _xlfn.CONCAT('Table Builder'!B33, "(", 'Table Builder'!C33, ") "), IF(ISNUMBER(MATCH('Table Builder'!B33, Lists!$G$2:$G$7,0)), _xlfn.CONCAT('Table Builder'!B33, "(", 'Table Builder'!C33, ", ", 'Table Builder'!D33, ")"), 'Table Builder'!B33)), "$", "")</f>
        <v/>
      </c>
      <c r="C28" t="str">
        <f>IF(ISBLANK('Table Builder'!E33), "", 'Table Builder'!E33)</f>
        <v/>
      </c>
      <c r="D28" t="str">
        <f>IF(ISBLANK('Table Builder'!F33),"",_xlfn.CONCAT("DEFAULT ",'Table Builder'!F33))</f>
        <v/>
      </c>
      <c r="E28" t="str">
        <f>IF(ISBLANK('Table Builder'!G33), "", "P🗝")</f>
        <v/>
      </c>
      <c r="F28" t="str">
        <f>IF(ISBLANK('Table Builder'!H33), "", "F🔑")</f>
        <v/>
      </c>
      <c r="G28" t="str">
        <f>IF(_xlfn.XOR((ISBLANK('For Babler, Ignore'!E28)),(ISBLANK('For Babler, Ignore'!F28))),TRUE,IF(AND((ISBLANK('For Babler, Ignore'!E28)),(ISBLANK('For Babler, Ignore'!F28))),TRUE,_xlfn.CONCAT(E28:F28)))</f>
        <v/>
      </c>
      <c r="H28" s="4" t="str">
        <f>IF('Table Builder'!I33="Yes", "🔍", "")</f>
        <v/>
      </c>
      <c r="I28" t="str">
        <f>IF(NOT(ISBLANK('Table Builder'!A33)), _xlfn.CONCAT(", ", A28, " ",B28," ",C28," ",D28), "")</f>
        <v/>
      </c>
    </row>
    <row r="29" spans="1:9" x14ac:dyDescent="0.3">
      <c r="A29" t="str">
        <f>IF(ISBLANK('Table Builder'!A34), "", 'Table Builder'!A34)</f>
        <v/>
      </c>
      <c r="B29" t="str">
        <f>SUBSTITUTE(IF(ISNUMBER(MATCH('Table Builder'!B34,Lists!$I$2:$I$7,0)), _xlfn.CONCAT('Table Builder'!B34, "(", 'Table Builder'!C34, ") "), IF(ISNUMBER(MATCH('Table Builder'!B34, Lists!$G$2:$G$7,0)), _xlfn.CONCAT('Table Builder'!B34, "(", 'Table Builder'!C34, ", ", 'Table Builder'!D34, ")"), 'Table Builder'!B34)), "$", "")</f>
        <v/>
      </c>
      <c r="C29" t="str">
        <f>IF(ISBLANK('Table Builder'!E34), "", 'Table Builder'!E34)</f>
        <v/>
      </c>
      <c r="D29" t="str">
        <f>IF(ISBLANK('Table Builder'!F34),"",_xlfn.CONCAT("DEFAULT ",'Table Builder'!F34))</f>
        <v/>
      </c>
      <c r="E29" t="str">
        <f>IF(ISBLANK('Table Builder'!G34), "", "P🗝")</f>
        <v/>
      </c>
      <c r="F29" t="str">
        <f>IF(ISBLANK('Table Builder'!H34), "", "F🔑")</f>
        <v/>
      </c>
      <c r="G29" t="str">
        <f>IF(_xlfn.XOR((ISBLANK('For Babler, Ignore'!E29)),(ISBLANK('For Babler, Ignore'!F29))),TRUE,IF(AND((ISBLANK('For Babler, Ignore'!E29)),(ISBLANK('For Babler, Ignore'!F29))),TRUE,_xlfn.CONCAT(E29:F29)))</f>
        <v/>
      </c>
      <c r="H29" s="4" t="str">
        <f>IF('Table Builder'!I34="Yes", "🔍", "")</f>
        <v/>
      </c>
      <c r="I29" t="str">
        <f>IF(NOT(ISBLANK('Table Builder'!A34)), _xlfn.CONCAT(", ", A29, " ",B29," ",C29," ",D29), "")</f>
        <v/>
      </c>
    </row>
    <row r="30" spans="1:9" x14ac:dyDescent="0.3">
      <c r="A30" t="str">
        <f>IF(ISBLANK('Table Builder'!A35), "", 'Table Builder'!A35)</f>
        <v/>
      </c>
      <c r="B30" t="str">
        <f>SUBSTITUTE(IF(ISNUMBER(MATCH('Table Builder'!B35,Lists!$I$2:$I$7,0)), _xlfn.CONCAT('Table Builder'!B35, "(", 'Table Builder'!C35, ") "), IF(ISNUMBER(MATCH('Table Builder'!B35, Lists!$G$2:$G$7,0)), _xlfn.CONCAT('Table Builder'!B35, "(", 'Table Builder'!C35, ", ", 'Table Builder'!D35, ")"), 'Table Builder'!B35)), "$", "")</f>
        <v/>
      </c>
      <c r="C30" t="str">
        <f>IF(ISBLANK('Table Builder'!E35), "", 'Table Builder'!E35)</f>
        <v/>
      </c>
      <c r="D30" t="str">
        <f>IF(ISBLANK('Table Builder'!F35),"",_xlfn.CONCAT("DEFAULT ",'Table Builder'!F35))</f>
        <v/>
      </c>
      <c r="E30" t="str">
        <f>IF(ISBLANK('Table Builder'!G35), "", "P🗝")</f>
        <v/>
      </c>
      <c r="F30" t="str">
        <f>IF(ISBLANK('Table Builder'!H35), "", "F🔑")</f>
        <v/>
      </c>
      <c r="G30" t="str">
        <f>IF(_xlfn.XOR((ISBLANK('For Babler, Ignore'!E30)),(ISBLANK('For Babler, Ignore'!F30))),TRUE,IF(AND((ISBLANK('For Babler, Ignore'!E30)),(ISBLANK('For Babler, Ignore'!F30))),TRUE,_xlfn.CONCAT(E30:F30)))</f>
        <v/>
      </c>
      <c r="H30" s="4" t="str">
        <f>IF('Table Builder'!I35="Yes", "🔍", "")</f>
        <v/>
      </c>
      <c r="I30" t="str">
        <f>IF(NOT(ISBLANK('Table Builder'!A35)), _xlfn.CONCAT(", ", A30, " ",B30," ",C30," ",D30), "")</f>
        <v/>
      </c>
    </row>
    <row r="31" spans="1:9" x14ac:dyDescent="0.3">
      <c r="A31" t="str">
        <f>IF(ISBLANK('Table Builder'!A36), "", 'Table Builder'!A36)</f>
        <v/>
      </c>
      <c r="B31" t="str">
        <f>SUBSTITUTE(IF(ISNUMBER(MATCH('Table Builder'!B36,Lists!$I$2:$I$7,0)), _xlfn.CONCAT('Table Builder'!B36, "(", 'Table Builder'!C36, ") "), IF(ISNUMBER(MATCH('Table Builder'!B36, Lists!$G$2:$G$7,0)), _xlfn.CONCAT('Table Builder'!B36, "(", 'Table Builder'!C36, ", ", 'Table Builder'!D36, ")"), 'Table Builder'!B36)), "$", "")</f>
        <v/>
      </c>
      <c r="C31" t="str">
        <f>IF(ISBLANK('Table Builder'!E36), "", 'Table Builder'!E36)</f>
        <v/>
      </c>
      <c r="D31" t="str">
        <f>IF(ISBLANK('Table Builder'!F36),"",_xlfn.CONCAT("DEFAULT ",'Table Builder'!F36))</f>
        <v/>
      </c>
      <c r="E31" t="str">
        <f>IF(ISBLANK('Table Builder'!G36), "", "P🗝")</f>
        <v/>
      </c>
      <c r="F31" t="str">
        <f>IF(ISBLANK('Table Builder'!H36), "", "F🔑")</f>
        <v/>
      </c>
      <c r="G31" t="str">
        <f>IF(_xlfn.XOR((ISBLANK('For Babler, Ignore'!E31)),(ISBLANK('For Babler, Ignore'!F31))),TRUE,IF(AND((ISBLANK('For Babler, Ignore'!E31)),(ISBLANK('For Babler, Ignore'!F31))),TRUE,_xlfn.CONCAT(E31:F31)))</f>
        <v/>
      </c>
      <c r="H31" s="4" t="str">
        <f>IF('Table Builder'!I36="Yes", "🔍", "")</f>
        <v/>
      </c>
      <c r="I31" t="str">
        <f>IF(NOT(ISBLANK('Table Builder'!A36)), _xlfn.CONCAT(", ", A31, " ",B31," ",C31," ",D31), "")</f>
        <v/>
      </c>
    </row>
    <row r="32" spans="1:9" x14ac:dyDescent="0.3">
      <c r="A32" t="str">
        <f>IF(ISBLANK('Table Builder'!A37), "", 'Table Builder'!A37)</f>
        <v/>
      </c>
      <c r="B32" t="str">
        <f>SUBSTITUTE(IF(ISNUMBER(MATCH('Table Builder'!B37,Lists!$I$2:$I$7,0)), _xlfn.CONCAT('Table Builder'!B37, "(", 'Table Builder'!C37, ") "), IF(ISNUMBER(MATCH('Table Builder'!B37, Lists!$G$2:$G$7,0)), _xlfn.CONCAT('Table Builder'!B37, "(", 'Table Builder'!C37, ", ", 'Table Builder'!D37, ")"), 'Table Builder'!B37)), "$", "")</f>
        <v/>
      </c>
      <c r="C32" t="str">
        <f>IF(ISBLANK('Table Builder'!E37), "", 'Table Builder'!E37)</f>
        <v/>
      </c>
      <c r="D32" t="str">
        <f>IF(ISBLANK('Table Builder'!F37),"",_xlfn.CONCAT("DEFAULT ",'Table Builder'!F37))</f>
        <v/>
      </c>
      <c r="E32" t="str">
        <f>IF(ISBLANK('Table Builder'!G37), "", "P🗝")</f>
        <v/>
      </c>
      <c r="F32" t="str">
        <f>IF(ISBLANK('Table Builder'!H37), "", "F🔑")</f>
        <v/>
      </c>
      <c r="G32" t="str">
        <f>IF(_xlfn.XOR((ISBLANK('For Babler, Ignore'!E32)),(ISBLANK('For Babler, Ignore'!F32))),TRUE,IF(AND((ISBLANK('For Babler, Ignore'!E32)),(ISBLANK('For Babler, Ignore'!F32))),TRUE,_xlfn.CONCAT(E32:F32)))</f>
        <v/>
      </c>
      <c r="H32" s="4" t="str">
        <f>IF('Table Builder'!I37="Yes", "🔍", "")</f>
        <v/>
      </c>
      <c r="I32" t="str">
        <f>IF(NOT(ISBLANK('Table Builder'!A37)), _xlfn.CONCAT(", ", A32, " ",B32," ",C32," ",D32), "")</f>
        <v/>
      </c>
    </row>
    <row r="33" spans="1:9" x14ac:dyDescent="0.3">
      <c r="A33" t="str">
        <f>IF(ISBLANK('Table Builder'!A38), "", 'Table Builder'!A38)</f>
        <v/>
      </c>
      <c r="B33" t="str">
        <f>SUBSTITUTE(IF(ISNUMBER(MATCH('Table Builder'!B38,Lists!$I$2:$I$7,0)), _xlfn.CONCAT('Table Builder'!B38, "(", 'Table Builder'!C38, ") "), IF(ISNUMBER(MATCH('Table Builder'!B38, Lists!$G$2:$G$7,0)), _xlfn.CONCAT('Table Builder'!B38, "(", 'Table Builder'!C38, ", ", 'Table Builder'!D38, ")"), 'Table Builder'!B38)), "$", "")</f>
        <v/>
      </c>
      <c r="C33" t="str">
        <f>IF(ISBLANK('Table Builder'!E38), "", 'Table Builder'!E38)</f>
        <v/>
      </c>
      <c r="D33" t="str">
        <f>IF(ISBLANK('Table Builder'!F38),"",_xlfn.CONCAT("DEFAULT ",'Table Builder'!F38))</f>
        <v/>
      </c>
      <c r="E33" t="str">
        <f>IF(ISBLANK('Table Builder'!G38), "", "P🗝")</f>
        <v/>
      </c>
      <c r="F33" t="str">
        <f>IF(ISBLANK('Table Builder'!H38), "", "F🔑")</f>
        <v/>
      </c>
      <c r="G33" t="str">
        <f>IF(_xlfn.XOR((ISBLANK('For Babler, Ignore'!E33)),(ISBLANK('For Babler, Ignore'!F33))),TRUE,IF(AND((ISBLANK('For Babler, Ignore'!E33)),(ISBLANK('For Babler, Ignore'!F33))),TRUE,_xlfn.CONCAT(E33:F33)))</f>
        <v/>
      </c>
      <c r="H33" s="4" t="str">
        <f>IF('Table Builder'!I38="Yes", "🔍", "")</f>
        <v/>
      </c>
      <c r="I33" t="str">
        <f>IF(NOT(ISBLANK('Table Builder'!A38)), _xlfn.CONCAT(", ", A33, " ",B33," ",C33," ",D33), "")</f>
        <v/>
      </c>
    </row>
    <row r="34" spans="1:9" x14ac:dyDescent="0.3">
      <c r="A34" t="str">
        <f>IF(ISBLANK('Table Builder'!A39), "", 'Table Builder'!A39)</f>
        <v/>
      </c>
      <c r="B34" t="str">
        <f>SUBSTITUTE(IF(ISNUMBER(MATCH('Table Builder'!B39,Lists!$I$2:$I$7,0)), _xlfn.CONCAT('Table Builder'!B39, "(", 'Table Builder'!C39, ") "), IF(ISNUMBER(MATCH('Table Builder'!B39, Lists!$G$2:$G$7,0)), _xlfn.CONCAT('Table Builder'!B39, "(", 'Table Builder'!C39, ", ", 'Table Builder'!D39, ")"), 'Table Builder'!B39)), "$", "")</f>
        <v/>
      </c>
      <c r="C34" t="str">
        <f>IF(ISBLANK('Table Builder'!E39), "", 'Table Builder'!E39)</f>
        <v/>
      </c>
      <c r="D34" t="str">
        <f>IF(ISBLANK('Table Builder'!F39),"",_xlfn.CONCAT("DEFAULT ",'Table Builder'!F39))</f>
        <v/>
      </c>
      <c r="E34" t="str">
        <f>IF(ISBLANK('Table Builder'!G39), "", "P🗝")</f>
        <v/>
      </c>
      <c r="F34" t="str">
        <f>IF(ISBLANK('Table Builder'!H39), "", "F🔑")</f>
        <v/>
      </c>
      <c r="G34" t="str">
        <f>IF(_xlfn.XOR((ISBLANK('For Babler, Ignore'!E34)),(ISBLANK('For Babler, Ignore'!F34))),TRUE,IF(AND((ISBLANK('For Babler, Ignore'!E34)),(ISBLANK('For Babler, Ignore'!F34))),TRUE,_xlfn.CONCAT(E34:F34)))</f>
        <v/>
      </c>
      <c r="H34" s="4" t="str">
        <f>IF('Table Builder'!I39="Yes", "🔍", "")</f>
        <v/>
      </c>
      <c r="I34" t="str">
        <f>IF(NOT(ISBLANK('Table Builder'!A39)), _xlfn.CONCAT(", ", A34, " ",B34," ",C34," ",D34), "")</f>
        <v/>
      </c>
    </row>
    <row r="35" spans="1:9" x14ac:dyDescent="0.3">
      <c r="A35" t="str">
        <f>IF(ISBLANK('Table Builder'!A40), "", 'Table Builder'!A40)</f>
        <v/>
      </c>
      <c r="B35" t="str">
        <f>SUBSTITUTE(IF(ISNUMBER(MATCH('Table Builder'!B40,Lists!$I$2:$I$7,0)), _xlfn.CONCAT('Table Builder'!B40, "(", 'Table Builder'!C40, ") "), IF(ISNUMBER(MATCH('Table Builder'!B40, Lists!$G$2:$G$7,0)), _xlfn.CONCAT('Table Builder'!B40, "(", 'Table Builder'!C40, ", ", 'Table Builder'!D40, ")"), 'Table Builder'!B40)), "$", "")</f>
        <v/>
      </c>
      <c r="C35" t="str">
        <f>IF(ISBLANK('Table Builder'!E40), "", 'Table Builder'!E40)</f>
        <v/>
      </c>
      <c r="D35" t="str">
        <f>IF(ISBLANK('Table Builder'!F40),"",_xlfn.CONCAT("DEFAULT ",'Table Builder'!F40))</f>
        <v/>
      </c>
      <c r="E35" t="str">
        <f>IF(ISBLANK('Table Builder'!G40), "", "P🗝")</f>
        <v/>
      </c>
      <c r="F35" t="str">
        <f>IF(ISBLANK('Table Builder'!H40), "", "F🔑")</f>
        <v/>
      </c>
      <c r="G35" t="str">
        <f>IF(_xlfn.XOR((ISBLANK('For Babler, Ignore'!E35)),(ISBLANK('For Babler, Ignore'!F35))),TRUE,IF(AND((ISBLANK('For Babler, Ignore'!E35)),(ISBLANK('For Babler, Ignore'!F35))),TRUE,_xlfn.CONCAT(E35:F35)))</f>
        <v/>
      </c>
      <c r="H35" s="4" t="str">
        <f>IF('Table Builder'!I40="Yes", "🔍", "")</f>
        <v/>
      </c>
      <c r="I35" t="str">
        <f>IF(NOT(ISBLANK('Table Builder'!A40)), _xlfn.CONCAT(", ", A35, " ",B35," ",C35," ",D35), "")</f>
        <v/>
      </c>
    </row>
    <row r="36" spans="1:9" x14ac:dyDescent="0.3">
      <c r="A36" t="str">
        <f>IF(ISBLANK('Table Builder'!A41), "", 'Table Builder'!A41)</f>
        <v/>
      </c>
      <c r="B36" t="str">
        <f>SUBSTITUTE(IF(ISNUMBER(MATCH('Table Builder'!B41,Lists!$I$2:$I$7,0)), _xlfn.CONCAT('Table Builder'!B41, "(", 'Table Builder'!C41, ") "), IF(ISNUMBER(MATCH('Table Builder'!B41, Lists!$G$2:$G$7,0)), _xlfn.CONCAT('Table Builder'!B41, "(", 'Table Builder'!C41, ", ", 'Table Builder'!D41, ")"), 'Table Builder'!B41)), "$", "")</f>
        <v/>
      </c>
      <c r="C36" t="str">
        <f>IF(ISBLANK('Table Builder'!E41), "", 'Table Builder'!E41)</f>
        <v/>
      </c>
      <c r="D36" t="str">
        <f>IF(ISBLANK('Table Builder'!F41),"",_xlfn.CONCAT("DEFAULT ",'Table Builder'!F41))</f>
        <v/>
      </c>
      <c r="E36" t="str">
        <f>IF(ISBLANK('Table Builder'!G41), "", "P🗝")</f>
        <v/>
      </c>
      <c r="F36" t="str">
        <f>IF(ISBLANK('Table Builder'!H41), "", "F🔑")</f>
        <v/>
      </c>
      <c r="G36" t="str">
        <f>IF(_xlfn.XOR((ISBLANK('For Babler, Ignore'!E36)),(ISBLANK('For Babler, Ignore'!F36))),TRUE,IF(AND((ISBLANK('For Babler, Ignore'!E36)),(ISBLANK('For Babler, Ignore'!F36))),TRUE,_xlfn.CONCAT(E36:F36)))</f>
        <v/>
      </c>
      <c r="H36" s="4" t="str">
        <f>IF('Table Builder'!I41="Yes", "🔍", "")</f>
        <v/>
      </c>
      <c r="I36" t="str">
        <f>IF(NOT(ISBLANK('Table Builder'!A41)), _xlfn.CONCAT(", ", A36, " ",B36," ",C36," ",D36), "")</f>
        <v/>
      </c>
    </row>
    <row r="37" spans="1:9" x14ac:dyDescent="0.3">
      <c r="A37" t="str">
        <f>IF(ISBLANK('Table Builder'!A42), "", 'Table Builder'!A42)</f>
        <v/>
      </c>
      <c r="B37" t="str">
        <f>SUBSTITUTE(IF(ISNUMBER(MATCH('Table Builder'!B42,Lists!$I$2:$I$7,0)), _xlfn.CONCAT('Table Builder'!B42, "(", 'Table Builder'!C42, ") "), IF(ISNUMBER(MATCH('Table Builder'!B42, Lists!$G$2:$G$7,0)), _xlfn.CONCAT('Table Builder'!B42, "(", 'Table Builder'!C42, ", ", 'Table Builder'!D42, ")"), 'Table Builder'!B42)), "$", "")</f>
        <v/>
      </c>
      <c r="C37" t="str">
        <f>IF(ISBLANK('Table Builder'!E42), "", 'Table Builder'!E42)</f>
        <v/>
      </c>
      <c r="D37" t="str">
        <f>IF(ISBLANK('Table Builder'!F42),"",_xlfn.CONCAT("DEFAULT ",'Table Builder'!F42))</f>
        <v/>
      </c>
      <c r="E37" t="str">
        <f>IF(ISBLANK('Table Builder'!G42), "", "P🗝")</f>
        <v/>
      </c>
      <c r="F37" t="str">
        <f>IF(ISBLANK('Table Builder'!H42), "", "F🔑")</f>
        <v/>
      </c>
      <c r="G37" t="str">
        <f>IF(_xlfn.XOR((ISBLANK('For Babler, Ignore'!E37)),(ISBLANK('For Babler, Ignore'!F37))),TRUE,IF(AND((ISBLANK('For Babler, Ignore'!E37)),(ISBLANK('For Babler, Ignore'!F37))),TRUE,_xlfn.CONCAT(E37:F37)))</f>
        <v/>
      </c>
      <c r="H37" s="4" t="str">
        <f>IF('Table Builder'!I42="Yes", "🔍", "")</f>
        <v/>
      </c>
      <c r="I37" t="str">
        <f>IF(NOT(ISBLANK('Table Builder'!A42)), _xlfn.CONCAT(", ", A37, " ",B37," ",C37," ",D37), "")</f>
        <v/>
      </c>
    </row>
    <row r="38" spans="1:9" x14ac:dyDescent="0.3">
      <c r="A38" t="str">
        <f>IF(ISBLANK('Table Builder'!A43), "", 'Table Builder'!A43)</f>
        <v/>
      </c>
      <c r="B38" t="str">
        <f>SUBSTITUTE(IF(ISNUMBER(MATCH('Table Builder'!B43,Lists!$I$2:$I$7,0)), _xlfn.CONCAT('Table Builder'!B43, "(", 'Table Builder'!C43, ") "), IF(ISNUMBER(MATCH('Table Builder'!B43, Lists!$G$2:$G$7,0)), _xlfn.CONCAT('Table Builder'!B43, "(", 'Table Builder'!C43, ", ", 'Table Builder'!D43, ")"), 'Table Builder'!B43)), "$", "")</f>
        <v/>
      </c>
      <c r="C38" t="str">
        <f>IF(ISBLANK('Table Builder'!E43), "", 'Table Builder'!E43)</f>
        <v/>
      </c>
      <c r="D38" t="str">
        <f>IF(ISBLANK('Table Builder'!F43),"",_xlfn.CONCAT("DEFAULT ",'Table Builder'!F43))</f>
        <v/>
      </c>
      <c r="E38" t="str">
        <f>IF(ISBLANK('Table Builder'!G43), "", "P🗝")</f>
        <v/>
      </c>
      <c r="F38" t="str">
        <f>IF(ISBLANK('Table Builder'!H43), "", "F🔑")</f>
        <v/>
      </c>
      <c r="G38" t="str">
        <f>IF(_xlfn.XOR((ISBLANK('For Babler, Ignore'!E38)),(ISBLANK('For Babler, Ignore'!F38))),TRUE,IF(AND((ISBLANK('For Babler, Ignore'!E38)),(ISBLANK('For Babler, Ignore'!F38))),TRUE,_xlfn.CONCAT(E38:F38)))</f>
        <v/>
      </c>
      <c r="H38" s="4" t="str">
        <f>IF('Table Builder'!I43="Yes", "🔍", "")</f>
        <v/>
      </c>
      <c r="I38" t="str">
        <f>IF(NOT(ISBLANK('Table Builder'!A43)), _xlfn.CONCAT(", ", A38, " ",B38," ",C38," ",D38), "")</f>
        <v/>
      </c>
    </row>
    <row r="39" spans="1:9" x14ac:dyDescent="0.3">
      <c r="A39" t="str">
        <f>IF(ISBLANK('Table Builder'!A44), "", 'Table Builder'!A44)</f>
        <v/>
      </c>
      <c r="B39" t="str">
        <f>SUBSTITUTE(IF(ISNUMBER(MATCH('Table Builder'!B44,Lists!$I$2:$I$7,0)), _xlfn.CONCAT('Table Builder'!B44, "(", 'Table Builder'!C44, ") "), IF(ISNUMBER(MATCH('Table Builder'!B44, Lists!$G$2:$G$7,0)), _xlfn.CONCAT('Table Builder'!B44, "(", 'Table Builder'!C44, ", ", 'Table Builder'!D44, ")"), 'Table Builder'!B44)), "$", "")</f>
        <v/>
      </c>
      <c r="C39" t="str">
        <f>IF(ISBLANK('Table Builder'!E44), "", 'Table Builder'!E44)</f>
        <v/>
      </c>
      <c r="D39" t="str">
        <f>IF(ISBLANK('Table Builder'!F44),"",_xlfn.CONCAT("DEFAULT ",'Table Builder'!F44))</f>
        <v/>
      </c>
      <c r="E39" t="str">
        <f>IF(ISBLANK('Table Builder'!G44), "", "P🗝")</f>
        <v/>
      </c>
      <c r="F39" t="str">
        <f>IF(ISBLANK('Table Builder'!H44), "", "F🔑")</f>
        <v/>
      </c>
      <c r="G39" t="str">
        <f>IF(_xlfn.XOR((ISBLANK('For Babler, Ignore'!E39)),(ISBLANK('For Babler, Ignore'!F39))),TRUE,IF(AND((ISBLANK('For Babler, Ignore'!E39)),(ISBLANK('For Babler, Ignore'!F39))),TRUE,_xlfn.CONCAT(E39:F39)))</f>
        <v/>
      </c>
      <c r="H39" s="4" t="str">
        <f>IF('Table Builder'!I44="Yes", "🔍", "")</f>
        <v/>
      </c>
      <c r="I39" t="str">
        <f>IF(NOT(ISBLANK('Table Builder'!A44)), _xlfn.CONCAT(", ", A39, " ",B39," ",C39," ",D39), "")</f>
        <v/>
      </c>
    </row>
    <row r="40" spans="1:9" x14ac:dyDescent="0.3">
      <c r="A40" t="str">
        <f>IF(ISBLANK('Table Builder'!A45), "", 'Table Builder'!A45)</f>
        <v/>
      </c>
      <c r="B40" t="str">
        <f>SUBSTITUTE(IF(ISNUMBER(MATCH('Table Builder'!B45,Lists!$I$2:$I$7,0)), _xlfn.CONCAT('Table Builder'!B45, "(", 'Table Builder'!C45, ") "), IF(ISNUMBER(MATCH('Table Builder'!B45, Lists!$G$2:$G$7,0)), _xlfn.CONCAT('Table Builder'!B45, "(", 'Table Builder'!C45, ", ", 'Table Builder'!D45, ")"), 'Table Builder'!B45)), "$", "")</f>
        <v/>
      </c>
      <c r="C40" t="str">
        <f>IF(ISBLANK('Table Builder'!E45), "", 'Table Builder'!E45)</f>
        <v/>
      </c>
      <c r="D40" t="str">
        <f>IF(ISBLANK('Table Builder'!F45),"",_xlfn.CONCAT("DEFAULT ",'Table Builder'!F45))</f>
        <v/>
      </c>
      <c r="E40" t="str">
        <f>IF(ISBLANK('Table Builder'!G45), "", "P🗝")</f>
        <v/>
      </c>
      <c r="F40" t="str">
        <f>IF(ISBLANK('Table Builder'!H45), "", "F🔑")</f>
        <v/>
      </c>
      <c r="G40" t="str">
        <f>IF(_xlfn.XOR((ISBLANK('For Babler, Ignore'!E40)),(ISBLANK('For Babler, Ignore'!F40))),TRUE,IF(AND((ISBLANK('For Babler, Ignore'!E40)),(ISBLANK('For Babler, Ignore'!F40))),TRUE,_xlfn.CONCAT(E40:F40)))</f>
        <v/>
      </c>
      <c r="H40" s="4" t="str">
        <f>IF('Table Builder'!I45="Yes", "🔍", "")</f>
        <v/>
      </c>
      <c r="I40" t="str">
        <f>IF(NOT(ISBLANK('Table Builder'!A45)), _xlfn.CONCAT(", ", A40, " ",B40," ",C40," ",D40), "")</f>
        <v/>
      </c>
    </row>
    <row r="41" spans="1:9" x14ac:dyDescent="0.3">
      <c r="A41" t="str">
        <f>IF(ISBLANK('Table Builder'!A46), "", 'Table Builder'!A46)</f>
        <v/>
      </c>
      <c r="B41" t="str">
        <f>SUBSTITUTE(IF(ISNUMBER(MATCH('Table Builder'!B46,Lists!$I$2:$I$7,0)), _xlfn.CONCAT('Table Builder'!B46, "(", 'Table Builder'!C46, ") "), IF(ISNUMBER(MATCH('Table Builder'!B46, Lists!$G$2:$G$7,0)), _xlfn.CONCAT('Table Builder'!B46, "(", 'Table Builder'!C46, ", ", 'Table Builder'!D46, ")"), 'Table Builder'!B46)), "$", "")</f>
        <v/>
      </c>
      <c r="C41" t="str">
        <f>IF(ISBLANK('Table Builder'!E46), "", 'Table Builder'!E46)</f>
        <v/>
      </c>
      <c r="D41" t="str">
        <f>IF(ISBLANK('Table Builder'!F46),"",_xlfn.CONCAT("DEFAULT ",'Table Builder'!F46))</f>
        <v/>
      </c>
      <c r="E41" t="str">
        <f>IF(ISBLANK('Table Builder'!G46), "", "P🗝")</f>
        <v/>
      </c>
      <c r="F41" t="str">
        <f>IF(ISBLANK('Table Builder'!H46), "", "F🔑")</f>
        <v/>
      </c>
      <c r="G41" t="str">
        <f>IF(_xlfn.XOR((ISBLANK('For Babler, Ignore'!E41)),(ISBLANK('For Babler, Ignore'!F41))),TRUE,IF(AND((ISBLANK('For Babler, Ignore'!E41)),(ISBLANK('For Babler, Ignore'!F41))),TRUE,_xlfn.CONCAT(E41:F41)))</f>
        <v/>
      </c>
      <c r="H41" s="4" t="str">
        <f>IF('Table Builder'!I46="Yes", "🔍", "")</f>
        <v/>
      </c>
      <c r="I41" t="str">
        <f>IF(NOT(ISBLANK('Table Builder'!A46)), _xlfn.CONCAT(", ", A41, " ",B41," ",C41," ",D41), "")</f>
        <v/>
      </c>
    </row>
    <row r="42" spans="1:9" x14ac:dyDescent="0.3">
      <c r="A42" t="str">
        <f>IF(ISBLANK('Table Builder'!A47), "", 'Table Builder'!A47)</f>
        <v/>
      </c>
      <c r="B42" t="str">
        <f>SUBSTITUTE(IF(ISNUMBER(MATCH('Table Builder'!B47,Lists!$I$2:$I$7,0)), _xlfn.CONCAT('Table Builder'!B47, "(", 'Table Builder'!C47, ") "), IF(ISNUMBER(MATCH('Table Builder'!B47, Lists!$G$2:$G$7,0)), _xlfn.CONCAT('Table Builder'!B47, "(", 'Table Builder'!C47, ", ", 'Table Builder'!D47, ")"), 'Table Builder'!B47)), "$", "")</f>
        <v/>
      </c>
      <c r="C42" t="str">
        <f>IF(ISBLANK('Table Builder'!E47), "", 'Table Builder'!E47)</f>
        <v/>
      </c>
      <c r="D42" t="str">
        <f>IF(ISBLANK('Table Builder'!F47),"",_xlfn.CONCAT("DEFAULT ",'Table Builder'!F47))</f>
        <v/>
      </c>
      <c r="E42" t="str">
        <f>IF(ISBLANK('Table Builder'!G47), "", "P🗝")</f>
        <v/>
      </c>
      <c r="F42" t="str">
        <f>IF(ISBLANK('Table Builder'!H47), "", "F🔑")</f>
        <v/>
      </c>
      <c r="G42" t="str">
        <f>IF(_xlfn.XOR((ISBLANK('For Babler, Ignore'!E42)),(ISBLANK('For Babler, Ignore'!F42))),TRUE,IF(AND((ISBLANK('For Babler, Ignore'!E42)),(ISBLANK('For Babler, Ignore'!F42))),TRUE,_xlfn.CONCAT(E42:F42)))</f>
        <v/>
      </c>
      <c r="H42" s="4" t="str">
        <f>IF('Table Builder'!I47="Yes", "🔍", "")</f>
        <v/>
      </c>
      <c r="I42" t="str">
        <f>IF(NOT(ISBLANK('Table Builder'!A47)), _xlfn.CONCAT(", ", A42, " ",B42," ",C42," ",D42), "")</f>
        <v/>
      </c>
    </row>
    <row r="43" spans="1:9" x14ac:dyDescent="0.3">
      <c r="A43" t="str">
        <f>IF(ISBLANK('Table Builder'!A48), "", 'Table Builder'!A48)</f>
        <v/>
      </c>
      <c r="B43" t="str">
        <f>SUBSTITUTE(IF(ISNUMBER(MATCH('Table Builder'!B48,Lists!$I$2:$I$7,0)), _xlfn.CONCAT('Table Builder'!B48, "(", 'Table Builder'!C48, ") "), IF(ISNUMBER(MATCH('Table Builder'!B48, Lists!$G$2:$G$7,0)), _xlfn.CONCAT('Table Builder'!B48, "(", 'Table Builder'!C48, ", ", 'Table Builder'!D48, ")"), 'Table Builder'!B48)), "$", "")</f>
        <v/>
      </c>
      <c r="C43" t="str">
        <f>IF(ISBLANK('Table Builder'!E48), "", 'Table Builder'!E48)</f>
        <v/>
      </c>
      <c r="D43" t="str">
        <f>IF(ISBLANK('Table Builder'!F48),"",_xlfn.CONCAT("DEFAULT ",'Table Builder'!F48))</f>
        <v/>
      </c>
      <c r="E43" t="str">
        <f>IF(ISBLANK('Table Builder'!G48), "", "P🗝")</f>
        <v/>
      </c>
      <c r="F43" t="str">
        <f>IF(ISBLANK('Table Builder'!H48), "", "F🔑")</f>
        <v/>
      </c>
      <c r="G43" t="str">
        <f>IF(_xlfn.XOR((ISBLANK('For Babler, Ignore'!E43)),(ISBLANK('For Babler, Ignore'!F43))),TRUE,IF(AND((ISBLANK('For Babler, Ignore'!E43)),(ISBLANK('For Babler, Ignore'!F43))),TRUE,_xlfn.CONCAT(E43:F43)))</f>
        <v/>
      </c>
      <c r="H43" s="4" t="str">
        <f>IF('Table Builder'!I48="Yes", "🔍", "")</f>
        <v/>
      </c>
      <c r="I43" t="str">
        <f>IF(NOT(ISBLANK('Table Builder'!A48)), _xlfn.CONCAT(", ", A43, " ",B43," ",C43," ",D43), "")</f>
        <v/>
      </c>
    </row>
    <row r="44" spans="1:9" x14ac:dyDescent="0.3">
      <c r="A44" t="str">
        <f>IF(ISBLANK('Table Builder'!A49), "", 'Table Builder'!A49)</f>
        <v/>
      </c>
      <c r="B44" t="str">
        <f>SUBSTITUTE(IF(ISNUMBER(MATCH('Table Builder'!B49,Lists!$I$2:$I$7,0)), _xlfn.CONCAT('Table Builder'!B49, "(", 'Table Builder'!C49, ") "), IF(ISNUMBER(MATCH('Table Builder'!B49, Lists!$G$2:$G$7,0)), _xlfn.CONCAT('Table Builder'!B49, "(", 'Table Builder'!C49, ", ", 'Table Builder'!D49, ")"), 'Table Builder'!B49)), "$", "")</f>
        <v/>
      </c>
      <c r="C44" t="str">
        <f>IF(ISBLANK('Table Builder'!E49), "", 'Table Builder'!E49)</f>
        <v/>
      </c>
      <c r="D44" t="str">
        <f>IF(ISBLANK('Table Builder'!F49),"",_xlfn.CONCAT("DEFAULT ",'Table Builder'!F49))</f>
        <v/>
      </c>
      <c r="E44" t="str">
        <f>IF(ISBLANK('Table Builder'!G49), "", "P🗝")</f>
        <v/>
      </c>
      <c r="F44" t="str">
        <f>IF(ISBLANK('Table Builder'!H49), "", "F🔑")</f>
        <v/>
      </c>
      <c r="G44" t="str">
        <f>IF(_xlfn.XOR((ISBLANK('For Babler, Ignore'!E44)),(ISBLANK('For Babler, Ignore'!F44))),TRUE,IF(AND((ISBLANK('For Babler, Ignore'!E44)),(ISBLANK('For Babler, Ignore'!F44))),TRUE,_xlfn.CONCAT(E44:F44)))</f>
        <v/>
      </c>
      <c r="H44" s="4" t="str">
        <f>IF('Table Builder'!I49="Yes", "🔍", "")</f>
        <v/>
      </c>
      <c r="I44" t="str">
        <f>IF(NOT(ISBLANK('Table Builder'!A49)), _xlfn.CONCAT(", ", A44, " ",B44," ",C44," ",D44), "")</f>
        <v/>
      </c>
    </row>
    <row r="45" spans="1:9" x14ac:dyDescent="0.3">
      <c r="A45" t="str">
        <f>IF(ISBLANK('Table Builder'!A50), "", 'Table Builder'!A50)</f>
        <v/>
      </c>
      <c r="B45" t="str">
        <f>SUBSTITUTE(IF(ISNUMBER(MATCH('Table Builder'!B50,Lists!$I$2:$I$7,0)), _xlfn.CONCAT('Table Builder'!B50, "(", 'Table Builder'!C50, ") "), IF(ISNUMBER(MATCH('Table Builder'!B50, Lists!$G$2:$G$7,0)), _xlfn.CONCAT('Table Builder'!B50, "(", 'Table Builder'!C50, ", ", 'Table Builder'!D50, ")"), 'Table Builder'!B50)), "$", "")</f>
        <v/>
      </c>
      <c r="C45" t="str">
        <f>IF(ISBLANK('Table Builder'!E50), "", 'Table Builder'!E50)</f>
        <v/>
      </c>
      <c r="D45" t="str">
        <f>IF(ISBLANK('Table Builder'!F50),"",_xlfn.CONCAT("DEFAULT ",'Table Builder'!F50))</f>
        <v/>
      </c>
      <c r="E45" t="str">
        <f>IF(ISBLANK('Table Builder'!G50), "", "P🗝")</f>
        <v/>
      </c>
      <c r="F45" t="str">
        <f>IF(ISBLANK('Table Builder'!H50), "", "F🔑")</f>
        <v/>
      </c>
      <c r="G45" t="str">
        <f>IF(_xlfn.XOR((ISBLANK('For Babler, Ignore'!E45)),(ISBLANK('For Babler, Ignore'!F45))),TRUE,IF(AND((ISBLANK('For Babler, Ignore'!E45)),(ISBLANK('For Babler, Ignore'!F45))),TRUE,_xlfn.CONCAT(E45:F45)))</f>
        <v/>
      </c>
      <c r="H45" s="4" t="str">
        <f>IF('Table Builder'!I50="Yes", "🔍", "")</f>
        <v/>
      </c>
      <c r="I45" t="str">
        <f>IF(NOT(ISBLANK('Table Builder'!A50)), _xlfn.CONCAT(", ", A45, " ",B45," ",C45," ",D45), "")</f>
        <v/>
      </c>
    </row>
    <row r="46" spans="1:9" x14ac:dyDescent="0.3">
      <c r="A46" t="str">
        <f>IF(ISBLANK('Table Builder'!A51), "", 'Table Builder'!A51)</f>
        <v/>
      </c>
      <c r="B46" t="str">
        <f>SUBSTITUTE(IF(ISNUMBER(MATCH('Table Builder'!B51,Lists!$I$2:$I$7,0)), _xlfn.CONCAT('Table Builder'!B51, "(", 'Table Builder'!C51, ") "), IF(ISNUMBER(MATCH('Table Builder'!B51, Lists!$G$2:$G$7,0)), _xlfn.CONCAT('Table Builder'!B51, "(", 'Table Builder'!C51, ", ", 'Table Builder'!D51, ")"), 'Table Builder'!B51)), "$", "")</f>
        <v/>
      </c>
      <c r="C46" t="str">
        <f>IF(ISBLANK('Table Builder'!E51), "", 'Table Builder'!E51)</f>
        <v/>
      </c>
      <c r="D46" t="str">
        <f>IF(ISBLANK('Table Builder'!F51),"",_xlfn.CONCAT("DEFAULT ",'Table Builder'!F51))</f>
        <v/>
      </c>
      <c r="E46" t="str">
        <f>IF(ISBLANK('Table Builder'!G51), "", "P🗝")</f>
        <v/>
      </c>
      <c r="F46" t="str">
        <f>IF(ISBLANK('Table Builder'!H51), "", "F🔑")</f>
        <v/>
      </c>
      <c r="G46" t="str">
        <f>IF(_xlfn.XOR((ISBLANK('For Babler, Ignore'!E46)),(ISBLANK('For Babler, Ignore'!F46))),TRUE,IF(AND((ISBLANK('For Babler, Ignore'!E46)),(ISBLANK('For Babler, Ignore'!F46))),TRUE,_xlfn.CONCAT(E46:F46)))</f>
        <v/>
      </c>
      <c r="H46" s="4" t="str">
        <f>IF('Table Builder'!I51="Yes", "🔍", "")</f>
        <v/>
      </c>
      <c r="I46" t="str">
        <f>IF(NOT(ISBLANK('Table Builder'!A51)), _xlfn.CONCAT(", ", A46, " ",B46," ",C46," ",D46), "")</f>
        <v/>
      </c>
    </row>
    <row r="47" spans="1:9" x14ac:dyDescent="0.3">
      <c r="A47" t="str">
        <f>IF(ISBLANK('Table Builder'!A52), "", 'Table Builder'!A52)</f>
        <v/>
      </c>
      <c r="B47" t="str">
        <f>SUBSTITUTE(IF(ISNUMBER(MATCH('Table Builder'!B52,Lists!$I$2:$I$7,0)), _xlfn.CONCAT('Table Builder'!B52, "(", 'Table Builder'!C52, ") "), IF(ISNUMBER(MATCH('Table Builder'!B52, Lists!$G$2:$G$7,0)), _xlfn.CONCAT('Table Builder'!B52, "(", 'Table Builder'!C52, ", ", 'Table Builder'!D52, ")"), 'Table Builder'!B52)), "$", "")</f>
        <v/>
      </c>
      <c r="C47" t="str">
        <f>IF(ISBLANK('Table Builder'!E52), "", 'Table Builder'!E52)</f>
        <v/>
      </c>
      <c r="D47" t="str">
        <f>IF(ISBLANK('Table Builder'!F52),"",_xlfn.CONCAT("DEFAULT ",'Table Builder'!F52))</f>
        <v/>
      </c>
      <c r="E47" t="str">
        <f>IF(ISBLANK('Table Builder'!G52), "", "P🗝")</f>
        <v/>
      </c>
      <c r="F47" t="str">
        <f>IF(ISBLANK('Table Builder'!H52), "", "F🔑")</f>
        <v/>
      </c>
      <c r="G47" t="str">
        <f>IF(_xlfn.XOR((ISBLANK('For Babler, Ignore'!E47)),(ISBLANK('For Babler, Ignore'!F47))),TRUE,IF(AND((ISBLANK('For Babler, Ignore'!E47)),(ISBLANK('For Babler, Ignore'!F47))),TRUE,_xlfn.CONCAT(E47:F47)))</f>
        <v/>
      </c>
      <c r="H47" s="4" t="str">
        <f>IF('Table Builder'!I52="Yes", "🔍", "")</f>
        <v/>
      </c>
      <c r="I47" t="str">
        <f>IF(NOT(ISBLANK('Table Builder'!A52)), _xlfn.CONCAT(", ", A47, " ",B47," ",C47," ",D47), "")</f>
        <v/>
      </c>
    </row>
    <row r="48" spans="1:9" x14ac:dyDescent="0.3">
      <c r="A48" t="str">
        <f>IF(ISBLANK('Table Builder'!A53), "", 'Table Builder'!A53)</f>
        <v/>
      </c>
      <c r="B48" t="str">
        <f>SUBSTITUTE(IF(ISNUMBER(MATCH('Table Builder'!B53,Lists!$I$2:$I$7,0)), _xlfn.CONCAT('Table Builder'!B53, "(", 'Table Builder'!C53, ") "), IF(ISNUMBER(MATCH('Table Builder'!B53, Lists!$G$2:$G$7,0)), _xlfn.CONCAT('Table Builder'!B53, "(", 'Table Builder'!C53, ", ", 'Table Builder'!D53, ")"), 'Table Builder'!B53)), "$", "")</f>
        <v/>
      </c>
      <c r="C48" t="str">
        <f>IF(ISBLANK('Table Builder'!E53), "", 'Table Builder'!E53)</f>
        <v/>
      </c>
      <c r="D48" t="str">
        <f>IF(ISBLANK('Table Builder'!F53),"",_xlfn.CONCAT("DEFAULT ",'Table Builder'!F53))</f>
        <v/>
      </c>
      <c r="E48" t="str">
        <f>IF(ISBLANK('Table Builder'!G53), "", "P🗝")</f>
        <v/>
      </c>
      <c r="F48" t="str">
        <f>IF(ISBLANK('Table Builder'!H53), "", "F🔑")</f>
        <v/>
      </c>
      <c r="G48" t="str">
        <f>IF(_xlfn.XOR((ISBLANK('For Babler, Ignore'!E48)),(ISBLANK('For Babler, Ignore'!F48))),TRUE,IF(AND((ISBLANK('For Babler, Ignore'!E48)),(ISBLANK('For Babler, Ignore'!F48))),TRUE,_xlfn.CONCAT(E48:F48)))</f>
        <v/>
      </c>
      <c r="H48" s="4" t="str">
        <f>IF('Table Builder'!I53="Yes", "🔍", "")</f>
        <v/>
      </c>
      <c r="I48" t="str">
        <f>IF(NOT(ISBLANK('Table Builder'!A53)), _xlfn.CONCAT(", ", A48, " ",B48," ",C48," ",D48), "")</f>
        <v/>
      </c>
    </row>
    <row r="49" spans="1:9" x14ac:dyDescent="0.3">
      <c r="A49" t="str">
        <f>IF(ISBLANK('Table Builder'!A54), "", 'Table Builder'!A54)</f>
        <v/>
      </c>
      <c r="B49" t="str">
        <f>SUBSTITUTE(IF(ISNUMBER(MATCH('Table Builder'!B54,Lists!$I$2:$I$7,0)), _xlfn.CONCAT('Table Builder'!B54, "(", 'Table Builder'!C54, ") "), IF(ISNUMBER(MATCH('Table Builder'!B54, Lists!$G$2:$G$7,0)), _xlfn.CONCAT('Table Builder'!B54, "(", 'Table Builder'!C54, ", ", 'Table Builder'!D54, ")"), 'Table Builder'!B54)), "$", "")</f>
        <v/>
      </c>
      <c r="C49" t="str">
        <f>IF(ISBLANK('Table Builder'!E54), "", 'Table Builder'!E54)</f>
        <v/>
      </c>
      <c r="D49" t="str">
        <f>IF(ISBLANK('Table Builder'!F54),"",_xlfn.CONCAT("DEFAULT ",'Table Builder'!F54))</f>
        <v/>
      </c>
      <c r="E49" t="str">
        <f>IF(ISBLANK('Table Builder'!G54), "", "P🗝")</f>
        <v/>
      </c>
      <c r="F49" t="str">
        <f>IF(ISBLANK('Table Builder'!H54), "", "F🔑")</f>
        <v/>
      </c>
      <c r="G49" t="str">
        <f>IF(_xlfn.XOR((ISBLANK('For Babler, Ignore'!E49)),(ISBLANK('For Babler, Ignore'!F49))),TRUE,IF(AND((ISBLANK('For Babler, Ignore'!E49)),(ISBLANK('For Babler, Ignore'!F49))),TRUE,_xlfn.CONCAT(E49:F49)))</f>
        <v/>
      </c>
      <c r="H49" s="4" t="str">
        <f>IF('Table Builder'!I54="Yes", "🔍", "")</f>
        <v/>
      </c>
      <c r="I49" t="str">
        <f>IF(NOT(ISBLANK('Table Builder'!A54)), _xlfn.CONCAT(", ", A49, " ",B49," ",C49," ",D49), "")</f>
        <v/>
      </c>
    </row>
    <row r="50" spans="1:9" x14ac:dyDescent="0.3">
      <c r="A50" t="str">
        <f>IF(ISBLANK('Table Builder'!A55), "", 'Table Builder'!A55)</f>
        <v/>
      </c>
      <c r="B50" t="str">
        <f>SUBSTITUTE(IF(ISNUMBER(MATCH('Table Builder'!B55,Lists!$I$2:$I$7,0)), _xlfn.CONCAT('Table Builder'!B55, "(", 'Table Builder'!C55, ") "), IF(ISNUMBER(MATCH('Table Builder'!B55, Lists!$G$2:$G$7,0)), _xlfn.CONCAT('Table Builder'!B55, "(", 'Table Builder'!C55, ", ", 'Table Builder'!D55, ")"), 'Table Builder'!B55)), "$", "")</f>
        <v/>
      </c>
      <c r="C50" t="str">
        <f>IF(ISBLANK('Table Builder'!E55), "", 'Table Builder'!E55)</f>
        <v/>
      </c>
      <c r="D50" t="str">
        <f>IF(ISBLANK('Table Builder'!F55),"",_xlfn.CONCAT("DEFAULT ",'Table Builder'!F55))</f>
        <v/>
      </c>
      <c r="E50" t="str">
        <f>IF(ISBLANK('Table Builder'!G55), "", "P🗝")</f>
        <v/>
      </c>
      <c r="F50" t="str">
        <f>IF(ISBLANK('Table Builder'!H55), "", "F🔑")</f>
        <v/>
      </c>
      <c r="G50" t="str">
        <f>IF(_xlfn.XOR((ISBLANK('For Babler, Ignore'!E50)),(ISBLANK('For Babler, Ignore'!F50))),TRUE,IF(AND((ISBLANK('For Babler, Ignore'!E50)),(ISBLANK('For Babler, Ignore'!F50))),TRUE,_xlfn.CONCAT(E50:F50)))</f>
        <v/>
      </c>
      <c r="H50" s="4" t="str">
        <f>IF('Table Builder'!I55="Yes", "🔍", "")</f>
        <v/>
      </c>
      <c r="I50" t="str">
        <f>IF(NOT(ISBLANK('Table Builder'!A55)), _xlfn.CONCAT(", ", A50, " ",B50," ",C50," ",D50), "")</f>
        <v/>
      </c>
    </row>
    <row r="51" spans="1:9" x14ac:dyDescent="0.3">
      <c r="A51" t="str">
        <f>IF(ISBLANK('Table Builder'!A56), "", 'Table Builder'!A56)</f>
        <v/>
      </c>
      <c r="B51" t="str">
        <f>SUBSTITUTE(IF(ISNUMBER(MATCH('Table Builder'!B56,Lists!$I$2:$I$7,0)), _xlfn.CONCAT('Table Builder'!B56, "(", 'Table Builder'!C56, ") "), IF(ISNUMBER(MATCH('Table Builder'!B56, Lists!$G$2:$G$7,0)), _xlfn.CONCAT('Table Builder'!B56, "(", 'Table Builder'!C56, ", ", 'Table Builder'!D56, ")"), 'Table Builder'!B56)), "$", "")</f>
        <v/>
      </c>
      <c r="C51" t="str">
        <f>IF(ISBLANK('Table Builder'!E56), "", 'Table Builder'!E56)</f>
        <v/>
      </c>
      <c r="D51" t="str">
        <f>IF(ISBLANK('Table Builder'!F56),"",_xlfn.CONCAT("DEFAULT ",'Table Builder'!F56))</f>
        <v/>
      </c>
      <c r="E51" t="str">
        <f>IF(ISBLANK('Table Builder'!G56), "", "P🗝")</f>
        <v/>
      </c>
      <c r="F51" t="str">
        <f>IF(ISBLANK('Table Builder'!H56), "", "F🔑")</f>
        <v/>
      </c>
      <c r="G51" t="str">
        <f>IF(_xlfn.XOR((ISBLANK('For Babler, Ignore'!E51)),(ISBLANK('For Babler, Ignore'!F51))),TRUE,IF(AND((ISBLANK('For Babler, Ignore'!E51)),(ISBLANK('For Babler, Ignore'!F51))),TRUE,_xlfn.CONCAT(E51:F51)))</f>
        <v/>
      </c>
      <c r="H51" s="4" t="str">
        <f>IF('Table Builder'!I56="Yes", "🔍", "")</f>
        <v/>
      </c>
      <c r="I51" t="str">
        <f>IF(NOT(ISBLANK('Table Builder'!A56)), _xlfn.CONCAT(", ", A51, " ",B51," ",C51," ",D51), "")</f>
        <v/>
      </c>
    </row>
    <row r="52" spans="1:9" x14ac:dyDescent="0.3">
      <c r="A52" t="str">
        <f>IF(ISBLANK('Table Builder'!A57), "", 'Table Builder'!A57)</f>
        <v/>
      </c>
      <c r="B52" t="str">
        <f>SUBSTITUTE(IF(ISNUMBER(MATCH('Table Builder'!B57,Lists!$I$2:$I$7,0)), _xlfn.CONCAT('Table Builder'!B57, "(", 'Table Builder'!C57, ") "), IF(ISNUMBER(MATCH('Table Builder'!B57, Lists!$G$2:$G$7,0)), _xlfn.CONCAT('Table Builder'!B57, "(", 'Table Builder'!C57, ", ", 'Table Builder'!D57, ")"), 'Table Builder'!B57)), "$", "")</f>
        <v/>
      </c>
      <c r="C52" t="str">
        <f>IF(ISBLANK('Table Builder'!E57), "", 'Table Builder'!E57)</f>
        <v/>
      </c>
      <c r="D52" t="str">
        <f>IF(ISBLANK('Table Builder'!F57),"",_xlfn.CONCAT("DEFAULT ",'Table Builder'!F57))</f>
        <v/>
      </c>
      <c r="E52" t="str">
        <f>IF(ISBLANK('Table Builder'!G57), "", "P🗝")</f>
        <v/>
      </c>
      <c r="F52" t="str">
        <f>IF(ISBLANK('Table Builder'!H57), "", "F🔑")</f>
        <v/>
      </c>
      <c r="G52" t="str">
        <f>IF(_xlfn.XOR((ISBLANK('For Babler, Ignore'!E52)),(ISBLANK('For Babler, Ignore'!F52))),TRUE,IF(AND((ISBLANK('For Babler, Ignore'!E52)),(ISBLANK('For Babler, Ignore'!F52))),TRUE,_xlfn.CONCAT(E52:F52)))</f>
        <v/>
      </c>
      <c r="H52" s="4" t="str">
        <f>IF('Table Builder'!I57="Yes", "🔍", "")</f>
        <v/>
      </c>
      <c r="I52" t="str">
        <f>IF(NOT(ISBLANK('Table Builder'!A57)), _xlfn.CONCAT(", ", A52, " ",B52," ",C52," ",D52), "")</f>
        <v/>
      </c>
    </row>
    <row r="53" spans="1:9" x14ac:dyDescent="0.3">
      <c r="A53" t="str">
        <f>IF(ISBLANK('Table Builder'!A58), "", 'Table Builder'!A58)</f>
        <v/>
      </c>
      <c r="B53" t="str">
        <f>SUBSTITUTE(IF(ISNUMBER(MATCH('Table Builder'!B58,Lists!$I$2:$I$7,0)), _xlfn.CONCAT('Table Builder'!B58, "(", 'Table Builder'!C58, ") "), IF(ISNUMBER(MATCH('Table Builder'!B58, Lists!$G$2:$G$7,0)), _xlfn.CONCAT('Table Builder'!B58, "(", 'Table Builder'!C58, ", ", 'Table Builder'!D58, ")"), 'Table Builder'!B58)), "$", "")</f>
        <v/>
      </c>
      <c r="C53" t="str">
        <f>IF(ISBLANK('Table Builder'!E58), "", 'Table Builder'!E58)</f>
        <v/>
      </c>
      <c r="D53" t="str">
        <f>IF(ISBLANK('Table Builder'!F58),"",_xlfn.CONCAT("DEFAULT ",'Table Builder'!F58))</f>
        <v/>
      </c>
      <c r="E53" t="str">
        <f>IF(ISBLANK('Table Builder'!G58), "", "P🗝")</f>
        <v/>
      </c>
      <c r="F53" t="str">
        <f>IF(ISBLANK('Table Builder'!H58), "", "F🔑")</f>
        <v/>
      </c>
      <c r="G53" t="str">
        <f>IF(_xlfn.XOR((ISBLANK('For Babler, Ignore'!E53)),(ISBLANK('For Babler, Ignore'!F53))),TRUE,IF(AND((ISBLANK('For Babler, Ignore'!E53)),(ISBLANK('For Babler, Ignore'!F53))),TRUE,_xlfn.CONCAT(E53:F53)))</f>
        <v/>
      </c>
      <c r="H53" s="4" t="str">
        <f>IF('Table Builder'!I58="Yes", "🔍", "")</f>
        <v/>
      </c>
      <c r="I53" t="str">
        <f>IF(NOT(ISBLANK('Table Builder'!A58)), _xlfn.CONCAT(", ", A53, " ",B53," ",C53," ",D53), "")</f>
        <v/>
      </c>
    </row>
    <row r="54" spans="1:9" x14ac:dyDescent="0.3">
      <c r="A54" t="str">
        <f>IF(ISBLANK('Table Builder'!A59), "", 'Table Builder'!A59)</f>
        <v/>
      </c>
      <c r="B54" t="str">
        <f>SUBSTITUTE(IF(ISNUMBER(MATCH('Table Builder'!B59,Lists!$I$2:$I$7,0)), _xlfn.CONCAT('Table Builder'!B59, "(", 'Table Builder'!C59, ") "), IF(ISNUMBER(MATCH('Table Builder'!B59, Lists!$G$2:$G$7,0)), _xlfn.CONCAT('Table Builder'!B59, "(", 'Table Builder'!C59, ", ", 'Table Builder'!D59, ")"), 'Table Builder'!B59)), "$", "")</f>
        <v/>
      </c>
      <c r="C54" t="str">
        <f>IF(ISBLANK('Table Builder'!E59), "", 'Table Builder'!E59)</f>
        <v/>
      </c>
      <c r="D54" t="str">
        <f>IF(ISBLANK('Table Builder'!F59),"",_xlfn.CONCAT("DEFAULT ",'Table Builder'!F59))</f>
        <v/>
      </c>
      <c r="E54" t="str">
        <f>IF(ISBLANK('Table Builder'!G59), "", "P🗝")</f>
        <v/>
      </c>
      <c r="F54" t="str">
        <f>IF(ISBLANK('Table Builder'!H59), "", "F🔑")</f>
        <v/>
      </c>
      <c r="G54" t="str">
        <f>IF(_xlfn.XOR((ISBLANK('For Babler, Ignore'!E54)),(ISBLANK('For Babler, Ignore'!F54))),TRUE,IF(AND((ISBLANK('For Babler, Ignore'!E54)),(ISBLANK('For Babler, Ignore'!F54))),TRUE,_xlfn.CONCAT(E54:F54)))</f>
        <v/>
      </c>
      <c r="H54" s="4" t="str">
        <f>IF('Table Builder'!I59="Yes", "🔍", "")</f>
        <v/>
      </c>
      <c r="I54" t="str">
        <f>IF(NOT(ISBLANK('Table Builder'!A59)), _xlfn.CONCAT(", ", A54, " ",B54," ",C54," ",D54), "")</f>
        <v/>
      </c>
    </row>
    <row r="55" spans="1:9" x14ac:dyDescent="0.3">
      <c r="A55" t="str">
        <f>IF(ISBLANK('Table Builder'!A60), "", 'Table Builder'!A60)</f>
        <v/>
      </c>
      <c r="B55" t="str">
        <f>SUBSTITUTE(IF(ISNUMBER(MATCH('Table Builder'!B60,Lists!$I$2:$I$7,0)), _xlfn.CONCAT('Table Builder'!B60, "(", 'Table Builder'!C60, ") "), IF(ISNUMBER(MATCH('Table Builder'!B60, Lists!$G$2:$G$7,0)), _xlfn.CONCAT('Table Builder'!B60, "(", 'Table Builder'!C60, ", ", 'Table Builder'!D60, ")"), 'Table Builder'!B60)), "$", "")</f>
        <v/>
      </c>
      <c r="C55" t="str">
        <f>IF(ISBLANK('Table Builder'!E60), "", 'Table Builder'!E60)</f>
        <v/>
      </c>
      <c r="D55" t="str">
        <f>IF(ISBLANK('Table Builder'!F60),"",_xlfn.CONCAT("DEFAULT ",'Table Builder'!F60))</f>
        <v/>
      </c>
      <c r="E55" t="str">
        <f>IF(ISBLANK('Table Builder'!G60), "", "P🗝")</f>
        <v/>
      </c>
      <c r="F55" t="str">
        <f>IF(ISBLANK('Table Builder'!H60), "", "F🔑")</f>
        <v/>
      </c>
      <c r="G55" t="str">
        <f>IF(_xlfn.XOR((ISBLANK('For Babler, Ignore'!E55)),(ISBLANK('For Babler, Ignore'!F55))),TRUE,IF(AND((ISBLANK('For Babler, Ignore'!E55)),(ISBLANK('For Babler, Ignore'!F55))),TRUE,_xlfn.CONCAT(E55:F55)))</f>
        <v/>
      </c>
      <c r="H55" s="4" t="str">
        <f>IF('Table Builder'!I60="Yes", "🔍", "")</f>
        <v/>
      </c>
      <c r="I55" t="str">
        <f>IF(NOT(ISBLANK('Table Builder'!A60)), _xlfn.CONCAT(", ", A55, " ",B55," ",C55," ",D55), "")</f>
        <v/>
      </c>
    </row>
    <row r="56" spans="1:9" x14ac:dyDescent="0.3">
      <c r="A56" t="str">
        <f>IF(ISBLANK('Table Builder'!A61), "", 'Table Builder'!A61)</f>
        <v/>
      </c>
      <c r="B56" t="str">
        <f>SUBSTITUTE(IF(ISNUMBER(MATCH('Table Builder'!B61,Lists!$I$2:$I$7,0)), _xlfn.CONCAT('Table Builder'!B61, "(", 'Table Builder'!C61, ") "), IF(ISNUMBER(MATCH('Table Builder'!B61, Lists!$G$2:$G$7,0)), _xlfn.CONCAT('Table Builder'!B61, "(", 'Table Builder'!C61, ", ", 'Table Builder'!D61, ")"), 'Table Builder'!B61)), "$", "")</f>
        <v/>
      </c>
      <c r="C56" t="str">
        <f>IF(ISBLANK('Table Builder'!E61), "", 'Table Builder'!E61)</f>
        <v/>
      </c>
      <c r="D56" t="str">
        <f>IF(ISBLANK('Table Builder'!F61),"",_xlfn.CONCAT("DEFAULT ",'Table Builder'!F61))</f>
        <v/>
      </c>
      <c r="E56" t="str">
        <f>IF(ISBLANK('Table Builder'!G61), "", "P🗝")</f>
        <v/>
      </c>
      <c r="F56" t="str">
        <f>IF(ISBLANK('Table Builder'!H61), "", "F🔑")</f>
        <v/>
      </c>
      <c r="G56" t="str">
        <f>IF(_xlfn.XOR((ISBLANK('For Babler, Ignore'!E56)),(ISBLANK('For Babler, Ignore'!F56))),TRUE,IF(AND((ISBLANK('For Babler, Ignore'!E56)),(ISBLANK('For Babler, Ignore'!F56))),TRUE,_xlfn.CONCAT(E56:F56)))</f>
        <v/>
      </c>
      <c r="H56" s="4" t="str">
        <f>IF('Table Builder'!I61="Yes", "🔍", "")</f>
        <v/>
      </c>
      <c r="I56" t="str">
        <f>IF(NOT(ISBLANK('Table Builder'!A61)), _xlfn.CONCAT(", ", A56, " ",B56," ",C56," ",D56), "")</f>
        <v/>
      </c>
    </row>
    <row r="57" spans="1:9" x14ac:dyDescent="0.3">
      <c r="A57" t="str">
        <f>IF(ISBLANK('Table Builder'!A62), "", 'Table Builder'!A62)</f>
        <v/>
      </c>
      <c r="B57" t="str">
        <f>SUBSTITUTE(IF(ISNUMBER(MATCH('Table Builder'!B62,Lists!$I$2:$I$7,0)), _xlfn.CONCAT('Table Builder'!B62, "(", 'Table Builder'!C62, ") "), IF(ISNUMBER(MATCH('Table Builder'!B62, Lists!$G$2:$G$7,0)), _xlfn.CONCAT('Table Builder'!B62, "(", 'Table Builder'!C62, ", ", 'Table Builder'!D62, ")"), 'Table Builder'!B62)), "$", "")</f>
        <v/>
      </c>
      <c r="C57" t="str">
        <f>IF(ISBLANK('Table Builder'!E62), "", 'Table Builder'!E62)</f>
        <v/>
      </c>
      <c r="D57" t="str">
        <f>IF(ISBLANK('Table Builder'!F62),"",_xlfn.CONCAT("DEFAULT ",'Table Builder'!F62))</f>
        <v/>
      </c>
      <c r="E57" t="str">
        <f>IF(ISBLANK('Table Builder'!G62), "", "P🗝")</f>
        <v/>
      </c>
      <c r="F57" t="str">
        <f>IF(ISBLANK('Table Builder'!H62), "", "F🔑")</f>
        <v/>
      </c>
      <c r="G57" t="str">
        <f>IF(_xlfn.XOR((ISBLANK('For Babler, Ignore'!E57)),(ISBLANK('For Babler, Ignore'!F57))),TRUE,IF(AND((ISBLANK('For Babler, Ignore'!E57)),(ISBLANK('For Babler, Ignore'!F57))),TRUE,_xlfn.CONCAT(E57:F57)))</f>
        <v/>
      </c>
      <c r="H57" s="4" t="str">
        <f>IF('Table Builder'!I62="Yes", "🔍", "")</f>
        <v/>
      </c>
      <c r="I57" t="str">
        <f>IF(NOT(ISBLANK('Table Builder'!A62)), _xlfn.CONCAT(", ", A57, " ",B57," ",C57," ",D57), "")</f>
        <v/>
      </c>
    </row>
    <row r="58" spans="1:9" x14ac:dyDescent="0.3">
      <c r="A58" t="str">
        <f>IF(ISBLANK('Table Builder'!A63), "", 'Table Builder'!A63)</f>
        <v/>
      </c>
      <c r="B58" t="str">
        <f>SUBSTITUTE(IF(ISNUMBER(MATCH('Table Builder'!B63,Lists!$I$2:$I$7,0)), _xlfn.CONCAT('Table Builder'!B63, "(", 'Table Builder'!C63, ") "), IF(ISNUMBER(MATCH('Table Builder'!B63, Lists!$G$2:$G$7,0)), _xlfn.CONCAT('Table Builder'!B63, "(", 'Table Builder'!C63, ", ", 'Table Builder'!D63, ")"), 'Table Builder'!B63)), "$", "")</f>
        <v/>
      </c>
      <c r="C58" t="str">
        <f>IF(ISBLANK('Table Builder'!E63), "", 'Table Builder'!E63)</f>
        <v/>
      </c>
      <c r="D58" t="str">
        <f>IF(ISBLANK('Table Builder'!F63),"",_xlfn.CONCAT("DEFAULT ",'Table Builder'!F63))</f>
        <v/>
      </c>
      <c r="E58" t="str">
        <f>IF(ISBLANK('Table Builder'!G63), "", "P🗝")</f>
        <v/>
      </c>
      <c r="F58" t="str">
        <f>IF(ISBLANK('Table Builder'!H63), "", "F🔑")</f>
        <v/>
      </c>
      <c r="G58" t="str">
        <f>IF(_xlfn.XOR((ISBLANK('For Babler, Ignore'!E58)),(ISBLANK('For Babler, Ignore'!F58))),TRUE,IF(AND((ISBLANK('For Babler, Ignore'!E58)),(ISBLANK('For Babler, Ignore'!F58))),TRUE,_xlfn.CONCAT(E58:F58)))</f>
        <v/>
      </c>
      <c r="H58" s="4" t="str">
        <f>IF('Table Builder'!I63="Yes", "🔍", "")</f>
        <v/>
      </c>
      <c r="I58" t="str">
        <f>IF(NOT(ISBLANK('Table Builder'!A63)), _xlfn.CONCAT(", ", A58, " ",B58," ",C58," ",D58), "")</f>
        <v/>
      </c>
    </row>
    <row r="59" spans="1:9" x14ac:dyDescent="0.3">
      <c r="A59" t="str">
        <f>IF(ISBLANK('Table Builder'!A64), "", 'Table Builder'!A64)</f>
        <v/>
      </c>
      <c r="B59" t="str">
        <f>SUBSTITUTE(IF(ISNUMBER(MATCH('Table Builder'!B64,Lists!$I$2:$I$7,0)), _xlfn.CONCAT('Table Builder'!B64, "(", 'Table Builder'!C64, ") "), IF(ISNUMBER(MATCH('Table Builder'!B64, Lists!$G$2:$G$7,0)), _xlfn.CONCAT('Table Builder'!B64, "(", 'Table Builder'!C64, ", ", 'Table Builder'!D64, ")"), 'Table Builder'!B64)), "$", "")</f>
        <v/>
      </c>
      <c r="C59" t="str">
        <f>IF(ISBLANK('Table Builder'!E64), "", 'Table Builder'!E64)</f>
        <v/>
      </c>
      <c r="D59" t="str">
        <f>IF(ISBLANK('Table Builder'!F64),"",_xlfn.CONCAT("DEFAULT ",'Table Builder'!F64))</f>
        <v/>
      </c>
      <c r="E59" t="str">
        <f>IF(ISBLANK('Table Builder'!G64), "", "P🗝")</f>
        <v/>
      </c>
      <c r="F59" t="str">
        <f>IF(ISBLANK('Table Builder'!H64), "", "F🔑")</f>
        <v/>
      </c>
      <c r="G59" t="str">
        <f>IF(_xlfn.XOR((ISBLANK('For Babler, Ignore'!E59)),(ISBLANK('For Babler, Ignore'!F59))),TRUE,IF(AND((ISBLANK('For Babler, Ignore'!E59)),(ISBLANK('For Babler, Ignore'!F59))),TRUE,_xlfn.CONCAT(E59:F59)))</f>
        <v/>
      </c>
      <c r="H59" s="4" t="str">
        <f>IF('Table Builder'!I64="Yes", "🔍", "")</f>
        <v/>
      </c>
      <c r="I59" t="str">
        <f>IF(NOT(ISBLANK('Table Builder'!A64)), _xlfn.CONCAT(", ", A59, " ",B59," ",C59," ",D59), "")</f>
        <v/>
      </c>
    </row>
    <row r="60" spans="1:9" x14ac:dyDescent="0.3">
      <c r="A60" t="str">
        <f>IF(ISBLANK('Table Builder'!A65), "", 'Table Builder'!A65)</f>
        <v/>
      </c>
      <c r="B60" t="str">
        <f>SUBSTITUTE(IF(ISNUMBER(MATCH('Table Builder'!B65,Lists!$I$2:$I$7,0)), _xlfn.CONCAT('Table Builder'!B65, "(", 'Table Builder'!C65, ") "), IF(ISNUMBER(MATCH('Table Builder'!B65, Lists!$G$2:$G$7,0)), _xlfn.CONCAT('Table Builder'!B65, "(", 'Table Builder'!C65, ", ", 'Table Builder'!D65, ")"), 'Table Builder'!B65)), "$", "")</f>
        <v/>
      </c>
      <c r="C60" t="str">
        <f>IF(ISBLANK('Table Builder'!E65), "", 'Table Builder'!E65)</f>
        <v/>
      </c>
      <c r="D60" t="str">
        <f>IF(ISBLANK('Table Builder'!F65),"",_xlfn.CONCAT("DEFAULT ",'Table Builder'!F65))</f>
        <v/>
      </c>
      <c r="E60" t="str">
        <f>IF(ISBLANK('Table Builder'!G65), "", "P🗝")</f>
        <v/>
      </c>
      <c r="F60" t="str">
        <f>IF(ISBLANK('Table Builder'!H65), "", "F🔑")</f>
        <v/>
      </c>
      <c r="G60" t="str">
        <f>IF(_xlfn.XOR((ISBLANK('For Babler, Ignore'!E60)),(ISBLANK('For Babler, Ignore'!F60))),TRUE,IF(AND((ISBLANK('For Babler, Ignore'!E60)),(ISBLANK('For Babler, Ignore'!F60))),TRUE,_xlfn.CONCAT(E60:F60)))</f>
        <v/>
      </c>
      <c r="H60" s="4" t="str">
        <f>IF('Table Builder'!I65="Yes", "🔍", "")</f>
        <v/>
      </c>
      <c r="I60" t="str">
        <f>IF(NOT(ISBLANK('Table Builder'!A65)), _xlfn.CONCAT(", ", A60, " ",B60," ",C60," ",D60), "")</f>
        <v/>
      </c>
    </row>
    <row r="61" spans="1:9" x14ac:dyDescent="0.3">
      <c r="A61" t="str">
        <f>IF(ISBLANK('Table Builder'!A66), "", 'Table Builder'!A66)</f>
        <v/>
      </c>
      <c r="B61" t="str">
        <f>SUBSTITUTE(IF(ISNUMBER(MATCH('Table Builder'!B66,Lists!$I$2:$I$7,0)), _xlfn.CONCAT('Table Builder'!B66, "(", 'Table Builder'!C66, ") "), IF(ISNUMBER(MATCH('Table Builder'!B66, Lists!$G$2:$G$7,0)), _xlfn.CONCAT('Table Builder'!B66, "(", 'Table Builder'!C66, ", ", 'Table Builder'!D66, ")"), 'Table Builder'!B66)), "$", "")</f>
        <v/>
      </c>
      <c r="C61" t="str">
        <f>IF(ISBLANK('Table Builder'!E66), "", 'Table Builder'!E66)</f>
        <v/>
      </c>
      <c r="D61" t="str">
        <f>IF(ISBLANK('Table Builder'!F66),"",_xlfn.CONCAT("DEFAULT ",'Table Builder'!F66))</f>
        <v/>
      </c>
      <c r="E61" t="str">
        <f>IF(ISBLANK('Table Builder'!G66), "", "P🗝")</f>
        <v/>
      </c>
      <c r="F61" t="str">
        <f>IF(ISBLANK('Table Builder'!H66), "", "F🔑")</f>
        <v/>
      </c>
      <c r="G61" t="str">
        <f>IF(_xlfn.XOR((ISBLANK('For Babler, Ignore'!E61)),(ISBLANK('For Babler, Ignore'!F61))),TRUE,IF(AND((ISBLANK('For Babler, Ignore'!E61)),(ISBLANK('For Babler, Ignore'!F61))),TRUE,_xlfn.CONCAT(E61:F61)))</f>
        <v/>
      </c>
      <c r="H61" s="4" t="str">
        <f>IF('Table Builder'!I66="Yes", "🔍", "")</f>
        <v/>
      </c>
      <c r="I61" t="str">
        <f>IF(NOT(ISBLANK('Table Builder'!A66)), _xlfn.CONCAT(", ", A61, " ",B61," ",C61," ",D61), "")</f>
        <v/>
      </c>
    </row>
    <row r="62" spans="1:9" x14ac:dyDescent="0.3">
      <c r="A62" t="str">
        <f>IF(ISBLANK('Table Builder'!A67), "", 'Table Builder'!A67)</f>
        <v/>
      </c>
      <c r="B62" t="str">
        <f>SUBSTITUTE(IF(ISNUMBER(MATCH('Table Builder'!B67,Lists!$I$2:$I$7,0)), _xlfn.CONCAT('Table Builder'!B67, "(", 'Table Builder'!C67, ") "), IF(ISNUMBER(MATCH('Table Builder'!B67, Lists!$G$2:$G$7,0)), _xlfn.CONCAT('Table Builder'!B67, "(", 'Table Builder'!C67, ", ", 'Table Builder'!D67, ")"), 'Table Builder'!B67)), "$", "")</f>
        <v/>
      </c>
      <c r="C62" t="str">
        <f>IF(ISBLANK('Table Builder'!E67), "", 'Table Builder'!E67)</f>
        <v/>
      </c>
      <c r="D62" t="str">
        <f>IF(ISBLANK('Table Builder'!F67),"",_xlfn.CONCAT("DEFAULT ",'Table Builder'!F67))</f>
        <v/>
      </c>
      <c r="E62" t="str">
        <f>IF(ISBLANK('Table Builder'!G67), "", "P🗝")</f>
        <v/>
      </c>
      <c r="F62" t="str">
        <f>IF(ISBLANK('Table Builder'!H67), "", "F🔑")</f>
        <v/>
      </c>
      <c r="G62" t="str">
        <f>IF(_xlfn.XOR((ISBLANK('For Babler, Ignore'!E62)),(ISBLANK('For Babler, Ignore'!F62))),TRUE,IF(AND((ISBLANK('For Babler, Ignore'!E62)),(ISBLANK('For Babler, Ignore'!F62))),TRUE,_xlfn.CONCAT(E62:F62)))</f>
        <v/>
      </c>
      <c r="H62" s="4" t="str">
        <f>IF('Table Builder'!I67="Yes", "🔍", "")</f>
        <v/>
      </c>
      <c r="I62" t="str">
        <f>IF(NOT(ISBLANK('Table Builder'!A67)), _xlfn.CONCAT(", ", A62, " ",B62," ",C62," ",D62), "")</f>
        <v/>
      </c>
    </row>
    <row r="63" spans="1:9" x14ac:dyDescent="0.3">
      <c r="A63" t="str">
        <f>IF(ISBLANK('Table Builder'!A68), "", 'Table Builder'!A68)</f>
        <v/>
      </c>
      <c r="B63" t="str">
        <f>SUBSTITUTE(IF(ISNUMBER(MATCH('Table Builder'!B68,Lists!$I$2:$I$7,0)), _xlfn.CONCAT('Table Builder'!B68, "(", 'Table Builder'!C68, ") "), IF(ISNUMBER(MATCH('Table Builder'!B68, Lists!$G$2:$G$7,0)), _xlfn.CONCAT('Table Builder'!B68, "(", 'Table Builder'!C68, ", ", 'Table Builder'!D68, ")"), 'Table Builder'!B68)), "$", "")</f>
        <v/>
      </c>
      <c r="C63" t="str">
        <f>IF(ISBLANK('Table Builder'!E68), "", 'Table Builder'!E68)</f>
        <v/>
      </c>
      <c r="D63" t="str">
        <f>IF(ISBLANK('Table Builder'!F68),"",_xlfn.CONCAT("DEFAULT ",'Table Builder'!F68))</f>
        <v/>
      </c>
      <c r="E63" t="str">
        <f>IF(ISBLANK('Table Builder'!G68), "", "P🗝")</f>
        <v/>
      </c>
      <c r="F63" t="str">
        <f>IF(ISBLANK('Table Builder'!H68), "", "F🔑")</f>
        <v/>
      </c>
      <c r="G63" t="str">
        <f>IF(_xlfn.XOR((ISBLANK('For Babler, Ignore'!E63)),(ISBLANK('For Babler, Ignore'!F63))),TRUE,IF(AND((ISBLANK('For Babler, Ignore'!E63)),(ISBLANK('For Babler, Ignore'!F63))),TRUE,_xlfn.CONCAT(E63:F63)))</f>
        <v/>
      </c>
      <c r="H63" s="4" t="str">
        <f>IF('Table Builder'!I68="Yes", "🔍", "")</f>
        <v/>
      </c>
      <c r="I63" t="str">
        <f>IF(NOT(ISBLANK('Table Builder'!A68)), _xlfn.CONCAT(", ", A63, " ",B63," ",C63," ",D63), "")</f>
        <v/>
      </c>
    </row>
    <row r="64" spans="1:9" x14ac:dyDescent="0.3">
      <c r="A64" t="str">
        <f>IF(ISBLANK('Table Builder'!A69), "", 'Table Builder'!A69)</f>
        <v/>
      </c>
      <c r="B64" t="str">
        <f>SUBSTITUTE(IF(ISNUMBER(MATCH('Table Builder'!B69,Lists!$I$2:$I$7,0)), _xlfn.CONCAT('Table Builder'!B69, "(", 'Table Builder'!C69, ") "), IF(ISNUMBER(MATCH('Table Builder'!B69, Lists!$G$2:$G$7,0)), _xlfn.CONCAT('Table Builder'!B69, "(", 'Table Builder'!C69, ", ", 'Table Builder'!D69, ")"), 'Table Builder'!B69)), "$", "")</f>
        <v/>
      </c>
      <c r="C64" t="str">
        <f>IF(ISBLANK('Table Builder'!E69), "", 'Table Builder'!E69)</f>
        <v/>
      </c>
      <c r="D64" t="str">
        <f>IF(ISBLANK('Table Builder'!F69),"",_xlfn.CONCAT("DEFAULT ",'Table Builder'!F69))</f>
        <v/>
      </c>
      <c r="E64" t="str">
        <f>IF(ISBLANK('Table Builder'!G69), "", "P🗝")</f>
        <v/>
      </c>
      <c r="F64" t="str">
        <f>IF(ISBLANK('Table Builder'!H69), "", "F🔑")</f>
        <v/>
      </c>
      <c r="G64" t="str">
        <f>IF(_xlfn.XOR((ISBLANK('For Babler, Ignore'!E64)),(ISBLANK('For Babler, Ignore'!F64))),TRUE,IF(AND((ISBLANK('For Babler, Ignore'!E64)),(ISBLANK('For Babler, Ignore'!F64))),TRUE,_xlfn.CONCAT(E64:F64)))</f>
        <v/>
      </c>
      <c r="H64" s="4" t="str">
        <f>IF('Table Builder'!I69="Yes", "🔍", "")</f>
        <v/>
      </c>
      <c r="I64" t="str">
        <f>IF(NOT(ISBLANK('Table Builder'!A69)), _xlfn.CONCAT(", ", A64, " ",B64," ",C64," ",D64), "")</f>
        <v/>
      </c>
    </row>
    <row r="65" spans="1:9" x14ac:dyDescent="0.3">
      <c r="A65" t="str">
        <f>IF(ISBLANK('Table Builder'!A70), "", 'Table Builder'!A70)</f>
        <v/>
      </c>
      <c r="B65" t="str">
        <f>SUBSTITUTE(IF(ISNUMBER(MATCH('Table Builder'!B70,Lists!$I$2:$I$7,0)), _xlfn.CONCAT('Table Builder'!B70, "(", 'Table Builder'!C70, ") "), IF(ISNUMBER(MATCH('Table Builder'!B70, Lists!$G$2:$G$7,0)), _xlfn.CONCAT('Table Builder'!B70, "(", 'Table Builder'!C70, ", ", 'Table Builder'!D70, ")"), 'Table Builder'!B70)), "$", "")</f>
        <v/>
      </c>
      <c r="C65" t="str">
        <f>IF(ISBLANK('Table Builder'!E70), "", 'Table Builder'!E70)</f>
        <v/>
      </c>
      <c r="D65" t="str">
        <f>IF(ISBLANK('Table Builder'!F70),"",_xlfn.CONCAT("DEFAULT ",'Table Builder'!F70))</f>
        <v/>
      </c>
      <c r="E65" t="str">
        <f>IF(ISBLANK('Table Builder'!G70), "", "P🗝")</f>
        <v/>
      </c>
      <c r="F65" t="str">
        <f>IF(ISBLANK('Table Builder'!H70), "", "F🔑")</f>
        <v/>
      </c>
      <c r="G65" t="str">
        <f>IF(_xlfn.XOR((ISBLANK('For Babler, Ignore'!E65)),(ISBLANK('For Babler, Ignore'!F65))),TRUE,IF(AND((ISBLANK('For Babler, Ignore'!E65)),(ISBLANK('For Babler, Ignore'!F65))),TRUE,_xlfn.CONCAT(E65:F65)))</f>
        <v/>
      </c>
      <c r="H65" s="4" t="str">
        <f>IF('Table Builder'!I70="Yes", "🔍", "")</f>
        <v/>
      </c>
      <c r="I65" t="str">
        <f>IF(NOT(ISBLANK('Table Builder'!A70)), _xlfn.CONCAT(", ", A65, " ",B65," ",C65," ",D65), "")</f>
        <v/>
      </c>
    </row>
    <row r="66" spans="1:9" x14ac:dyDescent="0.3">
      <c r="A66" t="str">
        <f>IF(ISBLANK('Table Builder'!A71), "", 'Table Builder'!A71)</f>
        <v/>
      </c>
      <c r="B66" t="str">
        <f>SUBSTITUTE(IF(ISNUMBER(MATCH('Table Builder'!B71,Lists!$I$2:$I$7,0)), _xlfn.CONCAT('Table Builder'!B71, "(", 'Table Builder'!C71, ") "), IF(ISNUMBER(MATCH('Table Builder'!B71, Lists!$G$2:$G$7,0)), _xlfn.CONCAT('Table Builder'!B71, "(", 'Table Builder'!C71, ", ", 'Table Builder'!D71, ")"), 'Table Builder'!B71)), "$", "")</f>
        <v/>
      </c>
      <c r="C66" t="str">
        <f>IF(ISBLANK('Table Builder'!E71), "", 'Table Builder'!E71)</f>
        <v/>
      </c>
      <c r="D66" t="str">
        <f>IF(ISBLANK('Table Builder'!F71),"",_xlfn.CONCAT("DEFAULT ",'Table Builder'!F71))</f>
        <v/>
      </c>
      <c r="E66" t="str">
        <f>IF(ISBLANK('Table Builder'!G71), "", "P🗝")</f>
        <v/>
      </c>
      <c r="F66" t="str">
        <f>IF(ISBLANK('Table Builder'!H71), "", "F🔑")</f>
        <v/>
      </c>
      <c r="G66" t="str">
        <f>IF(_xlfn.XOR((ISBLANK('For Babler, Ignore'!E66)),(ISBLANK('For Babler, Ignore'!F66))),TRUE,IF(AND((ISBLANK('For Babler, Ignore'!E66)),(ISBLANK('For Babler, Ignore'!F66))),TRUE,_xlfn.CONCAT(E66:F66)))</f>
        <v/>
      </c>
      <c r="H66" s="4" t="str">
        <f>IF('Table Builder'!I71="Yes", "🔍", "")</f>
        <v/>
      </c>
      <c r="I66" t="str">
        <f>IF(NOT(ISBLANK('Table Builder'!A71)), _xlfn.CONCAT(", ", A66, " ",B66," ",C66," ",D66), "")</f>
        <v/>
      </c>
    </row>
    <row r="67" spans="1:9" x14ac:dyDescent="0.3">
      <c r="A67" t="str">
        <f>IF(ISBLANK('Table Builder'!A72), "", 'Table Builder'!A72)</f>
        <v/>
      </c>
      <c r="B67" t="str">
        <f>SUBSTITUTE(IF(ISNUMBER(MATCH('Table Builder'!B72,Lists!$I$2:$I$7,0)), _xlfn.CONCAT('Table Builder'!B72, "(", 'Table Builder'!C72, ") "), IF(ISNUMBER(MATCH('Table Builder'!B72, Lists!$G$2:$G$7,0)), _xlfn.CONCAT('Table Builder'!B72, "(", 'Table Builder'!C72, ", ", 'Table Builder'!D72, ")"), 'Table Builder'!B72)), "$", "")</f>
        <v/>
      </c>
      <c r="C67" t="str">
        <f>IF(ISBLANK('Table Builder'!E72), "", 'Table Builder'!E72)</f>
        <v/>
      </c>
      <c r="D67" t="str">
        <f>IF(ISBLANK('Table Builder'!F72),"",_xlfn.CONCAT("DEFAULT ",'Table Builder'!F72))</f>
        <v/>
      </c>
      <c r="E67" t="str">
        <f>IF(ISBLANK('Table Builder'!G72), "", "P🗝")</f>
        <v/>
      </c>
      <c r="F67" t="str">
        <f>IF(ISBLANK('Table Builder'!H72), "", "F🔑")</f>
        <v/>
      </c>
      <c r="G67" t="str">
        <f>IF(_xlfn.XOR((ISBLANK('For Babler, Ignore'!E67)),(ISBLANK('For Babler, Ignore'!F67))),TRUE,IF(AND((ISBLANK('For Babler, Ignore'!E67)),(ISBLANK('For Babler, Ignore'!F67))),TRUE,_xlfn.CONCAT(E67:F67)))</f>
        <v/>
      </c>
      <c r="H67" s="4" t="str">
        <f>IF('Table Builder'!I72="Yes", "🔍", "")</f>
        <v/>
      </c>
      <c r="I67" t="str">
        <f>IF(NOT(ISBLANK('Table Builder'!A72)), _xlfn.CONCAT(", ", A67, " ",B67," ",C67," ",D67), "")</f>
        <v/>
      </c>
    </row>
    <row r="68" spans="1:9" x14ac:dyDescent="0.3">
      <c r="A68" t="str">
        <f>IF(ISBLANK('Table Builder'!A73), "", 'Table Builder'!A73)</f>
        <v/>
      </c>
      <c r="B68" t="str">
        <f>SUBSTITUTE(IF(ISNUMBER(MATCH('Table Builder'!B73,Lists!$I$2:$I$7,0)), _xlfn.CONCAT('Table Builder'!B73, "(", 'Table Builder'!C73, ") "), IF(ISNUMBER(MATCH('Table Builder'!B73, Lists!$G$2:$G$7,0)), _xlfn.CONCAT('Table Builder'!B73, "(", 'Table Builder'!C73, ", ", 'Table Builder'!D73, ")"), 'Table Builder'!B73)), "$", "")</f>
        <v/>
      </c>
      <c r="C68" t="str">
        <f>IF(ISBLANK('Table Builder'!E73), "", 'Table Builder'!E73)</f>
        <v/>
      </c>
      <c r="D68" t="str">
        <f>IF(ISBLANK('Table Builder'!F73),"",_xlfn.CONCAT("DEFAULT ",'Table Builder'!F73))</f>
        <v/>
      </c>
      <c r="E68" t="str">
        <f>IF(ISBLANK('Table Builder'!G73), "", "P🗝")</f>
        <v/>
      </c>
      <c r="F68" t="str">
        <f>IF(ISBLANK('Table Builder'!H73), "", "F🔑")</f>
        <v/>
      </c>
      <c r="G68" t="str">
        <f>IF(_xlfn.XOR((ISBLANK('For Babler, Ignore'!E68)),(ISBLANK('For Babler, Ignore'!F68))),TRUE,IF(AND((ISBLANK('For Babler, Ignore'!E68)),(ISBLANK('For Babler, Ignore'!F68))),TRUE,_xlfn.CONCAT(E68:F68)))</f>
        <v/>
      </c>
      <c r="H68" s="4" t="str">
        <f>IF('Table Builder'!I73="Yes", "🔍", "")</f>
        <v/>
      </c>
      <c r="I68" t="str">
        <f>IF(NOT(ISBLANK('Table Builder'!A73)), _xlfn.CONCAT(", ", A68, " ",B68," ",C68," ",D68), "")</f>
        <v/>
      </c>
    </row>
    <row r="69" spans="1:9" x14ac:dyDescent="0.3">
      <c r="A69" t="str">
        <f>IF(ISBLANK('Table Builder'!A74), "", 'Table Builder'!A74)</f>
        <v/>
      </c>
      <c r="B69" t="str">
        <f>SUBSTITUTE(IF(ISNUMBER(MATCH('Table Builder'!B74,Lists!$I$2:$I$7,0)), _xlfn.CONCAT('Table Builder'!B74, "(", 'Table Builder'!C74, ") "), IF(ISNUMBER(MATCH('Table Builder'!B74, Lists!$G$2:$G$7,0)), _xlfn.CONCAT('Table Builder'!B74, "(", 'Table Builder'!C74, ", ", 'Table Builder'!D74, ")"), 'Table Builder'!B74)), "$", "")</f>
        <v/>
      </c>
      <c r="C69" t="str">
        <f>IF(ISBLANK('Table Builder'!E74), "", 'Table Builder'!E74)</f>
        <v/>
      </c>
      <c r="D69" t="str">
        <f>IF(ISBLANK('Table Builder'!F74),"",_xlfn.CONCAT("DEFAULT ",'Table Builder'!F74))</f>
        <v/>
      </c>
      <c r="E69" t="str">
        <f>IF(ISBLANK('Table Builder'!G74), "", "P🗝")</f>
        <v/>
      </c>
      <c r="F69" t="str">
        <f>IF(ISBLANK('Table Builder'!H74), "", "F🔑")</f>
        <v/>
      </c>
      <c r="G69" t="str">
        <f>IF(_xlfn.XOR((ISBLANK('For Babler, Ignore'!E69)),(ISBLANK('For Babler, Ignore'!F69))),TRUE,IF(AND((ISBLANK('For Babler, Ignore'!E69)),(ISBLANK('For Babler, Ignore'!F69))),TRUE,_xlfn.CONCAT(E69:F69)))</f>
        <v/>
      </c>
      <c r="H69" s="4" t="str">
        <f>IF('Table Builder'!I74="Yes", "🔍", "")</f>
        <v/>
      </c>
      <c r="I69" t="str">
        <f>IF(NOT(ISBLANK('Table Builder'!A74)), _xlfn.CONCAT(", ", A69, " ",B69," ",C69," ",D69), "")</f>
        <v/>
      </c>
    </row>
    <row r="70" spans="1:9" x14ac:dyDescent="0.3">
      <c r="A70" t="str">
        <f>IF(ISBLANK('Table Builder'!A75), "", 'Table Builder'!A75)</f>
        <v/>
      </c>
      <c r="B70" t="str">
        <f>SUBSTITUTE(IF(ISNUMBER(MATCH('Table Builder'!B75,Lists!$I$2:$I$7,0)), _xlfn.CONCAT('Table Builder'!B75, "(", 'Table Builder'!C75, ") "), IF(ISNUMBER(MATCH('Table Builder'!B75, Lists!$G$2:$G$7,0)), _xlfn.CONCAT('Table Builder'!B75, "(", 'Table Builder'!C75, ", ", 'Table Builder'!D75, ")"), 'Table Builder'!B75)), "$", "")</f>
        <v/>
      </c>
      <c r="C70" t="str">
        <f>IF(ISBLANK('Table Builder'!E75), "", 'Table Builder'!E75)</f>
        <v/>
      </c>
      <c r="D70" t="str">
        <f>IF(ISBLANK('Table Builder'!F75),"",_xlfn.CONCAT("DEFAULT ",'Table Builder'!F75))</f>
        <v/>
      </c>
      <c r="E70" t="str">
        <f>IF(ISBLANK('Table Builder'!G75), "", "P🗝")</f>
        <v/>
      </c>
      <c r="F70" t="str">
        <f>IF(ISBLANK('Table Builder'!H75), "", "F🔑")</f>
        <v/>
      </c>
      <c r="G70" t="str">
        <f>IF(_xlfn.XOR((ISBLANK('For Babler, Ignore'!E70)),(ISBLANK('For Babler, Ignore'!F70))),TRUE,IF(AND((ISBLANK('For Babler, Ignore'!E70)),(ISBLANK('For Babler, Ignore'!F70))),TRUE,_xlfn.CONCAT(E70:F70)))</f>
        <v/>
      </c>
      <c r="H70" s="4" t="str">
        <f>IF('Table Builder'!I75="Yes", "🔍", "")</f>
        <v/>
      </c>
      <c r="I70" t="str">
        <f>IF(NOT(ISBLANK('Table Builder'!A75)), _xlfn.CONCAT(", ", A70, " ",B70," ",C70," ",D70), "")</f>
        <v/>
      </c>
    </row>
    <row r="71" spans="1:9" x14ac:dyDescent="0.3">
      <c r="A71" t="str">
        <f>IF(ISBLANK('Table Builder'!A76), "", 'Table Builder'!A76)</f>
        <v/>
      </c>
      <c r="B71" t="str">
        <f>SUBSTITUTE(IF(ISNUMBER(MATCH('Table Builder'!B76,Lists!$I$2:$I$7,0)), _xlfn.CONCAT('Table Builder'!B76, "(", 'Table Builder'!C76, ") "), IF(ISNUMBER(MATCH('Table Builder'!B76, Lists!$G$2:$G$7,0)), _xlfn.CONCAT('Table Builder'!B76, "(", 'Table Builder'!C76, ", ", 'Table Builder'!D76, ")"), 'Table Builder'!B76)), "$", "")</f>
        <v/>
      </c>
      <c r="C71" t="str">
        <f>IF(ISBLANK('Table Builder'!E76), "", 'Table Builder'!E76)</f>
        <v/>
      </c>
      <c r="D71" t="str">
        <f>IF(ISBLANK('Table Builder'!F76),"",_xlfn.CONCAT("DEFAULT ",'Table Builder'!F76))</f>
        <v/>
      </c>
      <c r="E71" t="str">
        <f>IF(ISBLANK('Table Builder'!G76), "", "P🗝")</f>
        <v/>
      </c>
      <c r="F71" t="str">
        <f>IF(ISBLANK('Table Builder'!H76), "", "F🔑")</f>
        <v/>
      </c>
      <c r="G71" t="str">
        <f>IF(_xlfn.XOR((ISBLANK('For Babler, Ignore'!E71)),(ISBLANK('For Babler, Ignore'!F71))),TRUE,IF(AND((ISBLANK('For Babler, Ignore'!E71)),(ISBLANK('For Babler, Ignore'!F71))),TRUE,_xlfn.CONCAT(E71:F71)))</f>
        <v/>
      </c>
      <c r="H71" s="4" t="str">
        <f>IF('Table Builder'!I76="Yes", "🔍", "")</f>
        <v/>
      </c>
      <c r="I71" t="str">
        <f>IF(NOT(ISBLANK('Table Builder'!A76)), _xlfn.CONCAT(", ", A71, " ",B71," ",C71," ",D71), "")</f>
        <v/>
      </c>
    </row>
    <row r="72" spans="1:9" x14ac:dyDescent="0.3">
      <c r="A72" t="str">
        <f>IF(ISBLANK('Table Builder'!A77), "", 'Table Builder'!A77)</f>
        <v/>
      </c>
      <c r="B72" t="str">
        <f>SUBSTITUTE(IF(ISNUMBER(MATCH('Table Builder'!B77,Lists!$I$2:$I$7,0)), _xlfn.CONCAT('Table Builder'!B77, "(", 'Table Builder'!C77, ") "), IF(ISNUMBER(MATCH('Table Builder'!B77, Lists!$G$2:$G$7,0)), _xlfn.CONCAT('Table Builder'!B77, "(", 'Table Builder'!C77, ", ", 'Table Builder'!D77, ")"), 'Table Builder'!B77)), "$", "")</f>
        <v/>
      </c>
      <c r="C72" t="str">
        <f>IF(ISBLANK('Table Builder'!E77), "", 'Table Builder'!E77)</f>
        <v/>
      </c>
      <c r="D72" t="str">
        <f>IF(ISBLANK('Table Builder'!F77),"",_xlfn.CONCAT("DEFAULT ",'Table Builder'!F77))</f>
        <v/>
      </c>
      <c r="E72" t="str">
        <f>IF(ISBLANK('Table Builder'!G77), "", "P🗝")</f>
        <v/>
      </c>
      <c r="F72" t="str">
        <f>IF(ISBLANK('Table Builder'!H77), "", "F🔑")</f>
        <v/>
      </c>
      <c r="G72" t="str">
        <f>IF(_xlfn.XOR((ISBLANK('For Babler, Ignore'!E72)),(ISBLANK('For Babler, Ignore'!F72))),TRUE,IF(AND((ISBLANK('For Babler, Ignore'!E72)),(ISBLANK('For Babler, Ignore'!F72))),TRUE,_xlfn.CONCAT(E72:F72)))</f>
        <v/>
      </c>
      <c r="H72" s="4" t="str">
        <f>IF('Table Builder'!I77="Yes", "🔍", "")</f>
        <v/>
      </c>
      <c r="I72" t="str">
        <f>IF(NOT(ISBLANK('Table Builder'!A77)), _xlfn.CONCAT(", ", A72, " ",B72," ",C72," ",D72), "")</f>
        <v/>
      </c>
    </row>
    <row r="73" spans="1:9" x14ac:dyDescent="0.3">
      <c r="A73" t="str">
        <f>IF(ISBLANK('Table Builder'!A78), "", 'Table Builder'!A78)</f>
        <v/>
      </c>
      <c r="B73" t="str">
        <f>SUBSTITUTE(IF(ISNUMBER(MATCH('Table Builder'!B78,Lists!$I$2:$I$7,0)), _xlfn.CONCAT('Table Builder'!B78, "(", 'Table Builder'!C78, ") "), IF(ISNUMBER(MATCH('Table Builder'!B78, Lists!$G$2:$G$7,0)), _xlfn.CONCAT('Table Builder'!B78, "(", 'Table Builder'!C78, ", ", 'Table Builder'!D78, ")"), 'Table Builder'!B78)), "$", "")</f>
        <v/>
      </c>
      <c r="C73" t="str">
        <f>IF(ISBLANK('Table Builder'!E78), "", 'Table Builder'!E78)</f>
        <v/>
      </c>
      <c r="D73" t="str">
        <f>IF(ISBLANK('Table Builder'!F78),"",_xlfn.CONCAT("DEFAULT ",'Table Builder'!F78))</f>
        <v/>
      </c>
      <c r="E73" t="str">
        <f>IF(ISBLANK('Table Builder'!G78), "", "P🗝")</f>
        <v/>
      </c>
      <c r="F73" t="str">
        <f>IF(ISBLANK('Table Builder'!H78), "", "F🔑")</f>
        <v/>
      </c>
      <c r="G73" t="str">
        <f>IF(_xlfn.XOR((ISBLANK('For Babler, Ignore'!E73)),(ISBLANK('For Babler, Ignore'!F73))),TRUE,IF(AND((ISBLANK('For Babler, Ignore'!E73)),(ISBLANK('For Babler, Ignore'!F73))),TRUE,_xlfn.CONCAT(E73:F73)))</f>
        <v/>
      </c>
      <c r="H73" s="4" t="str">
        <f>IF('Table Builder'!I78="Yes", "🔍", "")</f>
        <v/>
      </c>
      <c r="I73" t="str">
        <f>IF(NOT(ISBLANK('Table Builder'!A78)), _xlfn.CONCAT(", ", A73, " ",B73," ",C73," ",D73), "")</f>
        <v/>
      </c>
    </row>
    <row r="74" spans="1:9" x14ac:dyDescent="0.3">
      <c r="A74" t="str">
        <f>IF(ISBLANK('Table Builder'!A79), "", 'Table Builder'!A79)</f>
        <v/>
      </c>
      <c r="B74" t="str">
        <f>SUBSTITUTE(IF(ISNUMBER(MATCH('Table Builder'!B79,Lists!$I$2:$I$7,0)), _xlfn.CONCAT('Table Builder'!B79, "(", 'Table Builder'!C79, ") "), IF(ISNUMBER(MATCH('Table Builder'!B79, Lists!$G$2:$G$7,0)), _xlfn.CONCAT('Table Builder'!B79, "(", 'Table Builder'!C79, ", ", 'Table Builder'!D79, ")"), 'Table Builder'!B79)), "$", "")</f>
        <v/>
      </c>
      <c r="C74" t="str">
        <f>IF(ISBLANK('Table Builder'!E79), "", 'Table Builder'!E79)</f>
        <v/>
      </c>
      <c r="D74" t="str">
        <f>IF(ISBLANK('Table Builder'!F79),"",_xlfn.CONCAT("DEFAULT ",'Table Builder'!F79))</f>
        <v/>
      </c>
      <c r="E74" t="str">
        <f>IF(ISBLANK('Table Builder'!G79), "", "P🗝")</f>
        <v/>
      </c>
      <c r="F74" t="str">
        <f>IF(ISBLANK('Table Builder'!H79), "", "F🔑")</f>
        <v/>
      </c>
      <c r="G74" t="str">
        <f>IF(_xlfn.XOR((ISBLANK('For Babler, Ignore'!E74)),(ISBLANK('For Babler, Ignore'!F74))),TRUE,IF(AND((ISBLANK('For Babler, Ignore'!E74)),(ISBLANK('For Babler, Ignore'!F74))),TRUE,_xlfn.CONCAT(E74:F74)))</f>
        <v/>
      </c>
      <c r="H74" s="4" t="str">
        <f>IF('Table Builder'!I79="Yes", "🔍", "")</f>
        <v/>
      </c>
      <c r="I74" t="str">
        <f>IF(NOT(ISBLANK('Table Builder'!A79)), _xlfn.CONCAT(", ", A74, " ",B74," ",C74," ",D74), "")</f>
        <v/>
      </c>
    </row>
    <row r="75" spans="1:9" x14ac:dyDescent="0.3">
      <c r="A75" t="str">
        <f>IF(ISBLANK('Table Builder'!A80), "", 'Table Builder'!A80)</f>
        <v/>
      </c>
      <c r="B75" t="str">
        <f>SUBSTITUTE(IF(ISNUMBER(MATCH('Table Builder'!B80,Lists!$I$2:$I$7,0)), _xlfn.CONCAT('Table Builder'!B80, "(", 'Table Builder'!C80, ") "), IF(ISNUMBER(MATCH('Table Builder'!B80, Lists!$G$2:$G$7,0)), _xlfn.CONCAT('Table Builder'!B80, "(", 'Table Builder'!C80, ", ", 'Table Builder'!D80, ")"), 'Table Builder'!B80)), "$", "")</f>
        <v/>
      </c>
      <c r="C75" t="str">
        <f>IF(ISBLANK('Table Builder'!E80), "", 'Table Builder'!E80)</f>
        <v/>
      </c>
      <c r="D75" t="str">
        <f>IF(ISBLANK('Table Builder'!F80),"",_xlfn.CONCAT("DEFAULT ",'Table Builder'!F80))</f>
        <v/>
      </c>
      <c r="E75" t="str">
        <f>IF(ISBLANK('Table Builder'!G80), "", "P🗝")</f>
        <v/>
      </c>
      <c r="F75" t="str">
        <f>IF(ISBLANK('Table Builder'!H80), "", "F🔑")</f>
        <v/>
      </c>
      <c r="G75" t="str">
        <f>IF(_xlfn.XOR((ISBLANK('For Babler, Ignore'!E75)),(ISBLANK('For Babler, Ignore'!F75))),TRUE,IF(AND((ISBLANK('For Babler, Ignore'!E75)),(ISBLANK('For Babler, Ignore'!F75))),TRUE,_xlfn.CONCAT(E75:F75)))</f>
        <v/>
      </c>
      <c r="H75" s="4" t="str">
        <f>IF('Table Builder'!I80="Yes", "🔍", "")</f>
        <v/>
      </c>
      <c r="I75" t="str">
        <f>IF(NOT(ISBLANK('Table Builder'!A80)), _xlfn.CONCAT(", ", A75, " ",B75," ",C75," ",D75), "")</f>
        <v/>
      </c>
    </row>
    <row r="76" spans="1:9" x14ac:dyDescent="0.3">
      <c r="A76" t="str">
        <f>IF(ISBLANK('Table Builder'!A81), "", 'Table Builder'!A81)</f>
        <v/>
      </c>
      <c r="B76" t="str">
        <f>SUBSTITUTE(IF(ISNUMBER(MATCH('Table Builder'!B81,Lists!$I$2:$I$7,0)), _xlfn.CONCAT('Table Builder'!B81, "(", 'Table Builder'!C81, ") "), IF(ISNUMBER(MATCH('Table Builder'!B81, Lists!$G$2:$G$7,0)), _xlfn.CONCAT('Table Builder'!B81, "(", 'Table Builder'!C81, ", ", 'Table Builder'!D81, ")"), 'Table Builder'!B81)), "$", "")</f>
        <v/>
      </c>
      <c r="C76" t="str">
        <f>IF(ISBLANK('Table Builder'!E81), "", 'Table Builder'!E81)</f>
        <v/>
      </c>
      <c r="D76" t="str">
        <f>IF(ISBLANK('Table Builder'!F81),"",_xlfn.CONCAT("DEFAULT ",'Table Builder'!F81))</f>
        <v/>
      </c>
      <c r="E76" t="str">
        <f>IF(ISBLANK('Table Builder'!G81), "", "P🗝")</f>
        <v/>
      </c>
      <c r="F76" t="str">
        <f>IF(ISBLANK('Table Builder'!H81), "", "F🔑")</f>
        <v/>
      </c>
      <c r="G76" t="str">
        <f>IF(_xlfn.XOR((ISBLANK('For Babler, Ignore'!E76)),(ISBLANK('For Babler, Ignore'!F76))),TRUE,IF(AND((ISBLANK('For Babler, Ignore'!E76)),(ISBLANK('For Babler, Ignore'!F76))),TRUE,_xlfn.CONCAT(E76:F76)))</f>
        <v/>
      </c>
      <c r="H76" s="4" t="str">
        <f>IF('Table Builder'!I81="Yes", "🔍", "")</f>
        <v/>
      </c>
      <c r="I76" t="str">
        <f>IF(NOT(ISBLANK('Table Builder'!A81)), _xlfn.CONCAT(", ", A76, " ",B76," ",C76," ",D76), "")</f>
        <v/>
      </c>
    </row>
    <row r="77" spans="1:9" x14ac:dyDescent="0.3">
      <c r="A77" t="str">
        <f>IF(ISBLANK('Table Builder'!A82), "", 'Table Builder'!A82)</f>
        <v/>
      </c>
      <c r="B77" t="str">
        <f>SUBSTITUTE(IF(ISNUMBER(MATCH('Table Builder'!B82,Lists!$I$2:$I$7,0)), _xlfn.CONCAT('Table Builder'!B82, "(", 'Table Builder'!C82, ") "), IF(ISNUMBER(MATCH('Table Builder'!B82, Lists!$G$2:$G$7,0)), _xlfn.CONCAT('Table Builder'!B82, "(", 'Table Builder'!C82, ", ", 'Table Builder'!D82, ")"), 'Table Builder'!B82)), "$", "")</f>
        <v/>
      </c>
      <c r="C77" t="str">
        <f>IF(ISBLANK('Table Builder'!E82), "", 'Table Builder'!E82)</f>
        <v/>
      </c>
      <c r="D77" t="str">
        <f>IF(ISBLANK('Table Builder'!F82),"",_xlfn.CONCAT("DEFAULT ",'Table Builder'!F82))</f>
        <v/>
      </c>
      <c r="E77" t="str">
        <f>IF(ISBLANK('Table Builder'!G82), "", "P🗝")</f>
        <v/>
      </c>
      <c r="F77" t="str">
        <f>IF(ISBLANK('Table Builder'!H82), "", "F🔑")</f>
        <v/>
      </c>
      <c r="G77" t="str">
        <f>IF(_xlfn.XOR((ISBLANK('For Babler, Ignore'!E77)),(ISBLANK('For Babler, Ignore'!F77))),TRUE,IF(AND((ISBLANK('For Babler, Ignore'!E77)),(ISBLANK('For Babler, Ignore'!F77))),TRUE,_xlfn.CONCAT(E77:F77)))</f>
        <v/>
      </c>
      <c r="H77" s="4" t="str">
        <f>IF('Table Builder'!I82="Yes", "🔍", "")</f>
        <v/>
      </c>
      <c r="I77" t="str">
        <f>IF(NOT(ISBLANK('Table Builder'!A82)), _xlfn.CONCAT(", ", A77, " ",B77," ",C77," ",D77), "")</f>
        <v/>
      </c>
    </row>
    <row r="78" spans="1:9" x14ac:dyDescent="0.3">
      <c r="A78" t="str">
        <f>IF(ISBLANK('Table Builder'!A83), "", 'Table Builder'!A83)</f>
        <v/>
      </c>
      <c r="B78" t="str">
        <f>SUBSTITUTE(IF(ISNUMBER(MATCH('Table Builder'!B83,Lists!$I$2:$I$7,0)), _xlfn.CONCAT('Table Builder'!B83, "(", 'Table Builder'!C83, ") "), IF(ISNUMBER(MATCH('Table Builder'!B83, Lists!$G$2:$G$7,0)), _xlfn.CONCAT('Table Builder'!B83, "(", 'Table Builder'!C83, ", ", 'Table Builder'!D83, ")"), 'Table Builder'!B83)), "$", "")</f>
        <v/>
      </c>
      <c r="C78" t="str">
        <f>IF(ISBLANK('Table Builder'!E83), "", 'Table Builder'!E83)</f>
        <v/>
      </c>
      <c r="D78" t="str">
        <f>IF(ISBLANK('Table Builder'!F83),"",_xlfn.CONCAT("DEFAULT ",'Table Builder'!F83))</f>
        <v/>
      </c>
      <c r="E78" t="str">
        <f>IF(ISBLANK('Table Builder'!G83), "", "P🗝")</f>
        <v/>
      </c>
      <c r="F78" t="str">
        <f>IF(ISBLANK('Table Builder'!H83), "", "F🔑")</f>
        <v/>
      </c>
      <c r="G78" t="str">
        <f>IF(_xlfn.XOR((ISBLANK('For Babler, Ignore'!E78)),(ISBLANK('For Babler, Ignore'!F78))),TRUE,IF(AND((ISBLANK('For Babler, Ignore'!E78)),(ISBLANK('For Babler, Ignore'!F78))),TRUE,_xlfn.CONCAT(E78:F78)))</f>
        <v/>
      </c>
      <c r="H78" s="4" t="str">
        <f>IF('Table Builder'!I83="Yes", "🔍", "")</f>
        <v/>
      </c>
      <c r="I78" t="str">
        <f>IF(NOT(ISBLANK('Table Builder'!A83)), _xlfn.CONCAT(", ", A78, " ",B78," ",C78," ",D78), "")</f>
        <v/>
      </c>
    </row>
    <row r="79" spans="1:9" x14ac:dyDescent="0.3">
      <c r="A79" t="str">
        <f>IF(ISBLANK('Table Builder'!A84), "", 'Table Builder'!A84)</f>
        <v/>
      </c>
      <c r="B79" t="str">
        <f>SUBSTITUTE(IF(ISNUMBER(MATCH('Table Builder'!B84,Lists!$I$2:$I$7,0)), _xlfn.CONCAT('Table Builder'!B84, "(", 'Table Builder'!C84, ") "), IF(ISNUMBER(MATCH('Table Builder'!B84, Lists!$G$2:$G$7,0)), _xlfn.CONCAT('Table Builder'!B84, "(", 'Table Builder'!C84, ", ", 'Table Builder'!D84, ")"), 'Table Builder'!B84)), "$", "")</f>
        <v/>
      </c>
      <c r="C79" t="str">
        <f>IF(ISBLANK('Table Builder'!E84), "", 'Table Builder'!E84)</f>
        <v/>
      </c>
      <c r="D79" t="str">
        <f>IF(ISBLANK('Table Builder'!F84),"",_xlfn.CONCAT("DEFAULT ",'Table Builder'!F84))</f>
        <v/>
      </c>
      <c r="E79" t="str">
        <f>IF(ISBLANK('Table Builder'!G84), "", "P🗝")</f>
        <v/>
      </c>
      <c r="F79" t="str">
        <f>IF(ISBLANK('Table Builder'!H84), "", "F🔑")</f>
        <v/>
      </c>
      <c r="G79" t="str">
        <f>IF(_xlfn.XOR((ISBLANK('For Babler, Ignore'!E79)),(ISBLANK('For Babler, Ignore'!F79))),TRUE,IF(AND((ISBLANK('For Babler, Ignore'!E79)),(ISBLANK('For Babler, Ignore'!F79))),TRUE,_xlfn.CONCAT(E79:F79)))</f>
        <v/>
      </c>
      <c r="H79" s="4" t="str">
        <f>IF('Table Builder'!I84="Yes", "🔍", "")</f>
        <v/>
      </c>
      <c r="I79" t="str">
        <f>IF(NOT(ISBLANK('Table Builder'!A84)), _xlfn.CONCAT(", ", A79, " ",B79," ",C79," ",D79), "")</f>
        <v/>
      </c>
    </row>
    <row r="80" spans="1:9" x14ac:dyDescent="0.3">
      <c r="A80" t="str">
        <f>IF(ISBLANK('Table Builder'!A85), "", 'Table Builder'!A85)</f>
        <v/>
      </c>
      <c r="B80" t="str">
        <f>SUBSTITUTE(IF(ISNUMBER(MATCH('Table Builder'!B85,Lists!$I$2:$I$7,0)), _xlfn.CONCAT('Table Builder'!B85, "(", 'Table Builder'!C85, ") "), IF(ISNUMBER(MATCH('Table Builder'!B85, Lists!$G$2:$G$7,0)), _xlfn.CONCAT('Table Builder'!B85, "(", 'Table Builder'!C85, ", ", 'Table Builder'!D85, ")"), 'Table Builder'!B85)), "$", "")</f>
        <v/>
      </c>
      <c r="C80" t="str">
        <f>IF(ISBLANK('Table Builder'!E85), "", 'Table Builder'!E85)</f>
        <v/>
      </c>
      <c r="D80" t="str">
        <f>IF(ISBLANK('Table Builder'!F85),"",_xlfn.CONCAT("DEFAULT ",'Table Builder'!F85))</f>
        <v/>
      </c>
      <c r="E80" t="str">
        <f>IF(ISBLANK('Table Builder'!G85), "", "P🗝")</f>
        <v/>
      </c>
      <c r="F80" t="str">
        <f>IF(ISBLANK('Table Builder'!H85), "", "F🔑")</f>
        <v/>
      </c>
      <c r="G80" t="str">
        <f>IF(_xlfn.XOR((ISBLANK('For Babler, Ignore'!E80)),(ISBLANK('For Babler, Ignore'!F80))),TRUE,IF(AND((ISBLANK('For Babler, Ignore'!E80)),(ISBLANK('For Babler, Ignore'!F80))),TRUE,_xlfn.CONCAT(E80:F80)))</f>
        <v/>
      </c>
      <c r="H80" s="4" t="str">
        <f>IF('Table Builder'!I85="Yes", "🔍", "")</f>
        <v/>
      </c>
      <c r="I80" t="str">
        <f>IF(NOT(ISBLANK('Table Builder'!A85)), _xlfn.CONCAT(", ", A80, " ",B80," ",C80," ",D80), "")</f>
        <v/>
      </c>
    </row>
    <row r="81" spans="1:9" x14ac:dyDescent="0.3">
      <c r="A81" t="str">
        <f>IF(ISBLANK('Table Builder'!A86), "", 'Table Builder'!A86)</f>
        <v/>
      </c>
      <c r="B81" t="str">
        <f>SUBSTITUTE(IF(ISNUMBER(MATCH('Table Builder'!B86,Lists!$I$2:$I$7,0)), _xlfn.CONCAT('Table Builder'!B86, "(", 'Table Builder'!C86, ") "), IF(ISNUMBER(MATCH('Table Builder'!B86, Lists!$G$2:$G$7,0)), _xlfn.CONCAT('Table Builder'!B86, "(", 'Table Builder'!C86, ", ", 'Table Builder'!D86, ")"), 'Table Builder'!B86)), "$", "")</f>
        <v/>
      </c>
      <c r="C81" t="str">
        <f>IF(ISBLANK('Table Builder'!E86), "", 'Table Builder'!E86)</f>
        <v/>
      </c>
      <c r="D81" t="str">
        <f>IF(ISBLANK('Table Builder'!F86),"",_xlfn.CONCAT("DEFAULT ",'Table Builder'!F86))</f>
        <v/>
      </c>
      <c r="E81" t="str">
        <f>IF(ISBLANK('Table Builder'!G86), "", "P🗝")</f>
        <v/>
      </c>
      <c r="F81" t="str">
        <f>IF(ISBLANK('Table Builder'!H86), "", "F🔑")</f>
        <v/>
      </c>
      <c r="G81" t="str">
        <f>IF(_xlfn.XOR((ISBLANK('For Babler, Ignore'!E81)),(ISBLANK('For Babler, Ignore'!F81))),TRUE,IF(AND((ISBLANK('For Babler, Ignore'!E81)),(ISBLANK('For Babler, Ignore'!F81))),TRUE,_xlfn.CONCAT(E81:F81)))</f>
        <v/>
      </c>
      <c r="H81" s="4" t="str">
        <f>IF('Table Builder'!I86="Yes", "🔍", "")</f>
        <v/>
      </c>
      <c r="I81" t="str">
        <f>IF(NOT(ISBLANK('Table Builder'!A86)), _xlfn.CONCAT(", ", A81, " ",B81," ",C81," ",D81), "")</f>
        <v/>
      </c>
    </row>
    <row r="82" spans="1:9" x14ac:dyDescent="0.3">
      <c r="A82" t="str">
        <f>IF(ISBLANK('Table Builder'!A87), "", 'Table Builder'!A87)</f>
        <v/>
      </c>
      <c r="B82" t="str">
        <f>SUBSTITUTE(IF(ISNUMBER(MATCH('Table Builder'!B87,Lists!$I$2:$I$7,0)), _xlfn.CONCAT('Table Builder'!B87, "(", 'Table Builder'!C87, ") "), IF(ISNUMBER(MATCH('Table Builder'!B87, Lists!$G$2:$G$7,0)), _xlfn.CONCAT('Table Builder'!B87, "(", 'Table Builder'!C87, ", ", 'Table Builder'!D87, ")"), 'Table Builder'!B87)), "$", "")</f>
        <v/>
      </c>
      <c r="C82" t="str">
        <f>IF(ISBLANK('Table Builder'!E87), "", 'Table Builder'!E87)</f>
        <v/>
      </c>
      <c r="D82" t="str">
        <f>IF(ISBLANK('Table Builder'!F87),"",_xlfn.CONCAT("DEFAULT ",'Table Builder'!F87))</f>
        <v/>
      </c>
      <c r="E82" t="str">
        <f>IF(ISBLANK('Table Builder'!G87), "", "P🗝")</f>
        <v/>
      </c>
      <c r="F82" t="str">
        <f>IF(ISBLANK('Table Builder'!H87), "", "F🔑")</f>
        <v/>
      </c>
      <c r="G82" t="str">
        <f>IF(_xlfn.XOR((ISBLANK('For Babler, Ignore'!E82)),(ISBLANK('For Babler, Ignore'!F82))),TRUE,IF(AND((ISBLANK('For Babler, Ignore'!E82)),(ISBLANK('For Babler, Ignore'!F82))),TRUE,_xlfn.CONCAT(E82:F82)))</f>
        <v/>
      </c>
      <c r="H82" s="4" t="str">
        <f>IF('Table Builder'!I87="Yes", "🔍", "")</f>
        <v/>
      </c>
      <c r="I82" t="str">
        <f>IF(NOT(ISBLANK('Table Builder'!A87)), _xlfn.CONCAT(", ", A82, " ",B82," ",C82," ",D82), "")</f>
        <v/>
      </c>
    </row>
    <row r="83" spans="1:9" x14ac:dyDescent="0.3">
      <c r="A83" t="str">
        <f>IF(ISBLANK('Table Builder'!A88), "", 'Table Builder'!A88)</f>
        <v/>
      </c>
      <c r="B83" t="str">
        <f>SUBSTITUTE(IF(ISNUMBER(MATCH('Table Builder'!B88,Lists!$I$2:$I$7,0)), _xlfn.CONCAT('Table Builder'!B88, "(", 'Table Builder'!C88, ") "), IF(ISNUMBER(MATCH('Table Builder'!B88, Lists!$G$2:$G$7,0)), _xlfn.CONCAT('Table Builder'!B88, "(", 'Table Builder'!C88, ", ", 'Table Builder'!D88, ")"), 'Table Builder'!B88)), "$", "")</f>
        <v/>
      </c>
      <c r="C83" t="str">
        <f>IF(ISBLANK('Table Builder'!E88), "", 'Table Builder'!E88)</f>
        <v/>
      </c>
      <c r="D83" t="str">
        <f>IF(ISBLANK('Table Builder'!F88),"",_xlfn.CONCAT("DEFAULT ",'Table Builder'!F88))</f>
        <v/>
      </c>
      <c r="E83" t="str">
        <f>IF(ISBLANK('Table Builder'!G88), "", "P🗝")</f>
        <v/>
      </c>
      <c r="F83" t="str">
        <f>IF(ISBLANK('Table Builder'!H88), "", "F🔑")</f>
        <v/>
      </c>
      <c r="G83" t="str">
        <f>IF(_xlfn.XOR((ISBLANK('For Babler, Ignore'!E83)),(ISBLANK('For Babler, Ignore'!F83))),TRUE,IF(AND((ISBLANK('For Babler, Ignore'!E83)),(ISBLANK('For Babler, Ignore'!F83))),TRUE,_xlfn.CONCAT(E83:F83)))</f>
        <v/>
      </c>
      <c r="H83" s="4" t="str">
        <f>IF('Table Builder'!I88="Yes", "🔍", "")</f>
        <v/>
      </c>
      <c r="I83" t="str">
        <f>IF(NOT(ISBLANK('Table Builder'!A88)), _xlfn.CONCAT(", ", A83, " ",B83," ",C83," ",D83), "")</f>
        <v/>
      </c>
    </row>
  </sheetData>
  <mergeCells count="1">
    <mergeCell ref="A1:F1"/>
  </mergeCells>
  <pageMargins left="0.7" right="0.7" top="0.75" bottom="0.75" header="0.3" footer="0.3"/>
  <cellWatches>
    <cellWatch r="B3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2E825-6249-46CD-B28D-046F65E087F9}">
  <dimension ref="A1:M138"/>
  <sheetViews>
    <sheetView zoomScale="85" zoomScaleNormal="85" workbookViewId="0">
      <pane ySplit="1" topLeftCell="A2" activePane="bottomLeft" state="frozen"/>
      <selection pane="bottomLeft" activeCell="A3" sqref="A3"/>
    </sheetView>
  </sheetViews>
  <sheetFormatPr defaultRowHeight="16.5" x14ac:dyDescent="0.3"/>
  <cols>
    <col min="1" max="1" width="26.44140625" style="17" bestFit="1" customWidth="1"/>
    <col min="2" max="2" width="17.44140625" style="17" bestFit="1" customWidth="1"/>
    <col min="3" max="3" width="31.6640625" style="17" customWidth="1"/>
    <col min="4" max="4" width="27.88671875" style="17" bestFit="1" customWidth="1"/>
    <col min="5" max="5" width="8.88671875" style="4"/>
    <col min="6" max="6" width="14.33203125" style="4" customWidth="1"/>
    <col min="7" max="7" width="43.44140625" style="22" customWidth="1"/>
    <col min="8" max="8" width="17.109375" style="22" customWidth="1"/>
    <col min="9" max="9" width="8.88671875" style="22"/>
    <col min="10" max="10" width="72.88671875" style="22" bestFit="1" customWidth="1"/>
    <col min="11" max="11" width="56.77734375" style="22" customWidth="1"/>
    <col min="12" max="12" width="38.109375" style="22" customWidth="1"/>
    <col min="13" max="13" width="38.21875" style="22" customWidth="1"/>
  </cols>
  <sheetData>
    <row r="1" spans="1:13" x14ac:dyDescent="0.3">
      <c r="A1" s="14" t="s">
        <v>71</v>
      </c>
      <c r="B1" s="14" t="s">
        <v>72</v>
      </c>
      <c r="C1" s="15" t="s">
        <v>73</v>
      </c>
      <c r="D1" s="15" t="s">
        <v>74</v>
      </c>
      <c r="E1" s="16" t="s">
        <v>75</v>
      </c>
      <c r="F1" s="16" t="s">
        <v>76</v>
      </c>
      <c r="G1" s="17" t="s">
        <v>77</v>
      </c>
      <c r="H1" s="17" t="s">
        <v>78</v>
      </c>
      <c r="I1" s="17" t="s">
        <v>79</v>
      </c>
      <c r="J1" s="17" t="s">
        <v>80</v>
      </c>
      <c r="K1" s="17" t="s">
        <v>81</v>
      </c>
      <c r="L1" s="17" t="s">
        <v>82</v>
      </c>
      <c r="M1" s="17" t="s">
        <v>83</v>
      </c>
    </row>
    <row r="2" spans="1:13" ht="30" customHeight="1" x14ac:dyDescent="0.3">
      <c r="A2" s="17" t="s">
        <v>71</v>
      </c>
      <c r="B2" s="17" t="s">
        <v>72</v>
      </c>
      <c r="C2" s="17" t="s">
        <v>73</v>
      </c>
      <c r="D2" s="17" t="s">
        <v>74</v>
      </c>
      <c r="E2" s="18" t="s">
        <v>70</v>
      </c>
      <c r="F2" s="18" t="s">
        <v>69</v>
      </c>
      <c r="G2" s="19" t="str">
        <f t="shared" ref="G2:G3" si="0">"FK_"&amp;UPPER(C2)&amp;"_of_"&amp;UPPER(A2)</f>
        <v>FK_CHILDTABLE_of_PARENTTABLE</v>
      </c>
      <c r="H2" s="20" t="str">
        <f t="shared" ref="H2:H3" si="1">"N'IX_"&amp;C2&amp;"_"&amp;D2&amp;"'"</f>
        <v>N'IX_ChildTable_ChildColumn'</v>
      </c>
      <c r="I2" s="20" t="str">
        <f t="shared" ref="I2:I3" si="2">"IX_"&amp;C2&amp;"_"&amp;D2</f>
        <v>IX_ChildTable_ChildColumn</v>
      </c>
      <c r="J2" s="21" t="str">
        <f t="shared" ref="J2:J3" si="3">K2&amp;CHAR(10)
&amp;L2&amp;CHAR(10)
&amp;M2</f>
        <v>ALTER TABLE ChildTable
	ADD CONSTRAINT FK_CHILDTABLE_of_PARENTTABLE FOREIGN KEY (ChildColumn)
	REFERENCES ParentTable(ParentColumn)
	ON DELETE SET NULL
	ON UPDATE NO ACTION;
IF EXISTS ( 
			SELECT name
			FROM sys.indexes
			WHERE name = N'IX_ChildTable_ChildColumn'			)
	DROP INDEX IX_ChildTable_ChildColumn ON dbo.ChildTable;
CREATE NONCLUSTERED INDEX IX_ChildTable_ChildColumn
	ON dbo.ChildTable(ChildColumn);</v>
      </c>
      <c r="K2" s="21" t="str">
        <f t="shared" ref="K2:K3" si="4">"ALTER TABLE " &amp;C2&amp;CHAR(10)
&amp;CHAR(9)&amp;"ADD CONSTRAINT "&amp;G2&amp;" FOREIGN KEY ("&amp;D2&amp;")"&amp;CHAR(10)
&amp;CHAR(9)&amp;"REFERENCES "&amp;A2&amp;"("&amp;B2&amp;")"&amp;CHAR(10)
&amp;CHAR(9)&amp;"ON DELETE "&amp;E2&amp;CHAR(10)
&amp;CHAR(9)&amp;"ON UPDATE "&amp;F2&amp;";"</f>
        <v>ALTER TABLE ChildTable
	ADD CONSTRAINT FK_CHILDTABLE_of_PARENTTABLE FOREIGN KEY (ChildColumn)
	REFERENCES ParentTable(ParentColumn)
	ON DELETE SET NULL
	ON UPDATE NO ACTION;</v>
      </c>
      <c r="L2" s="21" t="str">
        <f>"IF EXISTS ( "&amp;CHAR(10)
&amp; [1]Utilities!B2&amp;"SELECT name"&amp;CHAR(10)
&amp;[1]Utilities!B2&amp;"FROM sys.indexes" &amp;CHAR(10)
&amp;[1]Utilities!B2&amp;"WHERE name = "&amp;H2
&amp;[1]Utilities!B2&amp;")"&amp;CHAR(10)
&amp;CHAR(9)&amp;"DROP INDEX "&amp;I2&amp;" ON dbo."&amp;C2&amp;";"</f>
        <v>IF EXISTS ( 
			SELECT name
			FROM sys.indexes
			WHERE name = N'IX_ChildTable_ChildColumn'			)
	DROP INDEX IX_ChildTable_ChildColumn ON dbo.ChildTable;</v>
      </c>
      <c r="M2" s="21" t="str">
        <f t="shared" ref="M2:M3" si="5">"CREATE NONCLUSTERED INDEX "&amp;I2&amp;CHAR(10)
&amp;CHAR(9)&amp; "ON dbo."&amp;C2&amp;"("&amp;D2&amp;");"</f>
        <v>CREATE NONCLUSTERED INDEX IX_ChildTable_ChildColumn
	ON dbo.ChildTable(ChildColumn);</v>
      </c>
    </row>
    <row r="3" spans="1:13" ht="136.5" x14ac:dyDescent="0.3">
      <c r="A3" s="17" t="s">
        <v>84</v>
      </c>
      <c r="B3" s="17" t="s">
        <v>85</v>
      </c>
      <c r="C3" s="17" t="s">
        <v>86</v>
      </c>
      <c r="D3" s="17" t="s">
        <v>85</v>
      </c>
      <c r="E3" s="18" t="s">
        <v>67</v>
      </c>
      <c r="F3" s="18" t="s">
        <v>67</v>
      </c>
      <c r="G3" s="19" t="str">
        <f t="shared" si="0"/>
        <v>FK_COMMONDRUG_of_UNIT</v>
      </c>
      <c r="H3" s="20" t="str">
        <f t="shared" si="1"/>
        <v>N'IX_CommonDrug_UnitID'</v>
      </c>
      <c r="I3" s="20" t="str">
        <f t="shared" si="2"/>
        <v>IX_CommonDrug_UnitID</v>
      </c>
      <c r="J3" s="21" t="str">
        <f t="shared" si="3"/>
        <v>ALTER TABLE CommonDrug
	ADD CONSTRAINT FK_COMMONDRUG_of_UNIT FOREIGN KEY (UnitID)
	REFERENCES Unit(UnitID)
	ON DELETE CASCADE
	ON UPDATE CASCADE;
IF EXISTS ( 
SELECT name
FROM sys.indexes
WHERE name = N'IX_CommonDrug_UnitID')
	DROP INDEX IX_CommonDrug_UnitID ON dbo.CommonDrug;
CREATE NONCLUSTERED INDEX IX_CommonDrug_UnitID
	ON dbo.CommonDrug(UnitID);</v>
      </c>
      <c r="K3" s="21" t="str">
        <f t="shared" si="4"/>
        <v>ALTER TABLE CommonDrug
	ADD CONSTRAINT FK_COMMONDRUG_of_UNIT FOREIGN KEY (UnitID)
	REFERENCES Unit(UnitID)
	ON DELETE CASCADE
	ON UPDATE CASCADE;</v>
      </c>
      <c r="L3" s="21" t="str">
        <f>"IF EXISTS ( "&amp;CHAR(10)
&amp; [1]Utilities!B3&amp;"SELECT name"&amp;CHAR(10)
&amp;[1]Utilities!B3&amp;"FROM sys.indexes" &amp;CHAR(10)
&amp;[1]Utilities!B3&amp;"WHERE name = "&amp;H3
&amp;[1]Utilities!B3&amp;")"&amp;CHAR(10)
&amp;CHAR(9)&amp;"DROP INDEX "&amp;I3&amp;" ON dbo."&amp;C3&amp;";"</f>
        <v>IF EXISTS ( 
SELECT name
FROM sys.indexes
WHERE name = N'IX_CommonDrug_UnitID')
	DROP INDEX IX_CommonDrug_UnitID ON dbo.CommonDrug;</v>
      </c>
      <c r="M3" s="21" t="str">
        <f t="shared" si="5"/>
        <v>CREATE NONCLUSTERED INDEX IX_CommonDrug_UnitID
	ON dbo.CommonDrug(UnitID);</v>
      </c>
    </row>
    <row r="4" spans="1:13" x14ac:dyDescent="0.3">
      <c r="E4" s="18"/>
      <c r="F4" s="18"/>
      <c r="G4" s="19"/>
    </row>
    <row r="5" spans="1:13" x14ac:dyDescent="0.3">
      <c r="E5" s="18"/>
      <c r="F5" s="18"/>
      <c r="G5" s="19"/>
    </row>
    <row r="6" spans="1:13" x14ac:dyDescent="0.3">
      <c r="E6" s="18"/>
      <c r="F6" s="18"/>
      <c r="G6" s="19"/>
    </row>
    <row r="7" spans="1:13" x14ac:dyDescent="0.3">
      <c r="E7" s="18"/>
      <c r="F7" s="18"/>
      <c r="G7" s="19"/>
    </row>
    <row r="8" spans="1:13" x14ac:dyDescent="0.3">
      <c r="E8" s="18"/>
      <c r="F8" s="18"/>
      <c r="G8" s="19"/>
    </row>
    <row r="9" spans="1:13" x14ac:dyDescent="0.3">
      <c r="E9" s="18"/>
      <c r="F9" s="18"/>
      <c r="G9" s="19"/>
    </row>
    <row r="10" spans="1:13" x14ac:dyDescent="0.3">
      <c r="E10" s="18"/>
      <c r="F10" s="18"/>
      <c r="G10" s="19"/>
    </row>
    <row r="11" spans="1:13" x14ac:dyDescent="0.3">
      <c r="E11" s="18"/>
      <c r="F11" s="18"/>
      <c r="G11" s="19"/>
    </row>
    <row r="12" spans="1:13" x14ac:dyDescent="0.3">
      <c r="E12" s="18"/>
      <c r="F12" s="18"/>
      <c r="G12" s="19"/>
    </row>
    <row r="13" spans="1:13" x14ac:dyDescent="0.3">
      <c r="E13" s="18"/>
      <c r="F13" s="18"/>
      <c r="G13" s="19"/>
    </row>
    <row r="14" spans="1:13" x14ac:dyDescent="0.3">
      <c r="E14" s="18"/>
      <c r="F14" s="18"/>
      <c r="G14" s="19"/>
    </row>
    <row r="15" spans="1:13" x14ac:dyDescent="0.3">
      <c r="E15" s="18"/>
      <c r="F15" s="18"/>
      <c r="G15" s="19"/>
    </row>
    <row r="16" spans="1:13" x14ac:dyDescent="0.3">
      <c r="E16" s="18"/>
      <c r="F16" s="18"/>
      <c r="G16" s="19"/>
    </row>
    <row r="17" spans="5:7" x14ac:dyDescent="0.3">
      <c r="E17" s="18"/>
      <c r="F17" s="18"/>
      <c r="G17" s="19"/>
    </row>
    <row r="18" spans="5:7" x14ac:dyDescent="0.3">
      <c r="E18" s="18"/>
      <c r="F18" s="18"/>
      <c r="G18" s="19"/>
    </row>
    <row r="19" spans="5:7" x14ac:dyDescent="0.3">
      <c r="E19" s="18"/>
      <c r="F19" s="18"/>
      <c r="G19" s="19"/>
    </row>
    <row r="20" spans="5:7" x14ac:dyDescent="0.3">
      <c r="E20" s="18"/>
      <c r="F20" s="18"/>
      <c r="G20" s="19"/>
    </row>
    <row r="21" spans="5:7" x14ac:dyDescent="0.3">
      <c r="E21" s="18"/>
      <c r="F21" s="18"/>
      <c r="G21" s="19"/>
    </row>
    <row r="22" spans="5:7" x14ac:dyDescent="0.3">
      <c r="E22" s="18"/>
      <c r="F22" s="18"/>
      <c r="G22" s="19"/>
    </row>
    <row r="23" spans="5:7" x14ac:dyDescent="0.3">
      <c r="E23" s="18"/>
      <c r="F23" s="18"/>
      <c r="G23" s="19"/>
    </row>
    <row r="24" spans="5:7" x14ac:dyDescent="0.3">
      <c r="E24" s="18"/>
      <c r="F24" s="18"/>
      <c r="G24" s="19"/>
    </row>
    <row r="25" spans="5:7" x14ac:dyDescent="0.3">
      <c r="E25" s="18"/>
      <c r="F25" s="18"/>
      <c r="G25" s="19"/>
    </row>
    <row r="26" spans="5:7" x14ac:dyDescent="0.3">
      <c r="E26" s="18"/>
      <c r="F26" s="18"/>
      <c r="G26" s="19"/>
    </row>
    <row r="27" spans="5:7" x14ac:dyDescent="0.3">
      <c r="E27" s="18"/>
      <c r="F27" s="18"/>
      <c r="G27" s="19"/>
    </row>
    <row r="28" spans="5:7" x14ac:dyDescent="0.3">
      <c r="E28" s="18"/>
      <c r="F28" s="18"/>
      <c r="G28" s="19"/>
    </row>
    <row r="29" spans="5:7" x14ac:dyDescent="0.3">
      <c r="E29" s="18"/>
      <c r="F29" s="18"/>
      <c r="G29" s="19"/>
    </row>
    <row r="30" spans="5:7" x14ac:dyDescent="0.3">
      <c r="E30" s="18"/>
      <c r="F30" s="18"/>
      <c r="G30" s="19"/>
    </row>
    <row r="31" spans="5:7" x14ac:dyDescent="0.3">
      <c r="E31" s="18"/>
      <c r="F31" s="18"/>
      <c r="G31" s="19"/>
    </row>
    <row r="32" spans="5:7" x14ac:dyDescent="0.3">
      <c r="E32" s="18"/>
      <c r="F32" s="18"/>
      <c r="G32" s="19"/>
    </row>
    <row r="33" spans="5:7" x14ac:dyDescent="0.3">
      <c r="E33" s="18"/>
      <c r="F33" s="18"/>
      <c r="G33" s="19"/>
    </row>
    <row r="34" spans="5:7" x14ac:dyDescent="0.3">
      <c r="E34" s="18"/>
      <c r="F34" s="18"/>
      <c r="G34" s="19"/>
    </row>
    <row r="35" spans="5:7" x14ac:dyDescent="0.3">
      <c r="E35" s="18"/>
      <c r="F35" s="18"/>
      <c r="G35" s="19"/>
    </row>
    <row r="36" spans="5:7" x14ac:dyDescent="0.3">
      <c r="E36" s="18"/>
      <c r="F36" s="18"/>
      <c r="G36" s="19"/>
    </row>
    <row r="37" spans="5:7" x14ac:dyDescent="0.3">
      <c r="E37" s="18"/>
      <c r="F37" s="18"/>
      <c r="G37" s="19"/>
    </row>
    <row r="38" spans="5:7" x14ac:dyDescent="0.3">
      <c r="E38" s="18"/>
      <c r="F38" s="18"/>
      <c r="G38" s="19"/>
    </row>
    <row r="39" spans="5:7" x14ac:dyDescent="0.3">
      <c r="E39" s="18"/>
      <c r="F39" s="18"/>
      <c r="G39" s="19"/>
    </row>
    <row r="40" spans="5:7" x14ac:dyDescent="0.3">
      <c r="E40" s="18"/>
      <c r="F40" s="18"/>
      <c r="G40" s="19"/>
    </row>
    <row r="41" spans="5:7" x14ac:dyDescent="0.3">
      <c r="E41" s="18"/>
      <c r="F41" s="18"/>
      <c r="G41" s="19"/>
    </row>
    <row r="42" spans="5:7" x14ac:dyDescent="0.3">
      <c r="E42" s="18"/>
      <c r="F42" s="18"/>
      <c r="G42" s="19"/>
    </row>
    <row r="43" spans="5:7" x14ac:dyDescent="0.3">
      <c r="E43" s="18"/>
      <c r="F43" s="18"/>
      <c r="G43" s="19"/>
    </row>
    <row r="44" spans="5:7" x14ac:dyDescent="0.3">
      <c r="E44" s="18"/>
      <c r="F44" s="18"/>
      <c r="G44" s="19"/>
    </row>
    <row r="45" spans="5:7" x14ac:dyDescent="0.3">
      <c r="E45" s="18"/>
      <c r="F45" s="18"/>
      <c r="G45" s="19"/>
    </row>
    <row r="46" spans="5:7" x14ac:dyDescent="0.3">
      <c r="E46" s="18"/>
      <c r="F46" s="18"/>
      <c r="G46" s="19"/>
    </row>
    <row r="47" spans="5:7" x14ac:dyDescent="0.3">
      <c r="E47" s="18"/>
      <c r="F47" s="18"/>
      <c r="G47" s="19"/>
    </row>
    <row r="48" spans="5:7" x14ac:dyDescent="0.3">
      <c r="E48" s="18"/>
      <c r="F48" s="18"/>
      <c r="G48" s="19"/>
    </row>
    <row r="49" spans="5:7" x14ac:dyDescent="0.3">
      <c r="E49" s="18"/>
      <c r="F49" s="18"/>
      <c r="G49" s="19"/>
    </row>
    <row r="50" spans="5:7" x14ac:dyDescent="0.3">
      <c r="E50" s="18"/>
      <c r="F50" s="18"/>
      <c r="G50" s="19"/>
    </row>
    <row r="51" spans="5:7" x14ac:dyDescent="0.3">
      <c r="E51" s="18"/>
      <c r="F51" s="18"/>
      <c r="G51" s="19"/>
    </row>
    <row r="52" spans="5:7" x14ac:dyDescent="0.3">
      <c r="E52" s="18"/>
      <c r="F52" s="18"/>
      <c r="G52" s="19"/>
    </row>
    <row r="53" spans="5:7" x14ac:dyDescent="0.3">
      <c r="E53" s="18"/>
      <c r="F53" s="18"/>
      <c r="G53" s="19"/>
    </row>
    <row r="54" spans="5:7" x14ac:dyDescent="0.3">
      <c r="E54" s="18"/>
      <c r="F54" s="18"/>
      <c r="G54" s="19"/>
    </row>
    <row r="55" spans="5:7" x14ac:dyDescent="0.3">
      <c r="E55" s="18"/>
      <c r="F55" s="18"/>
      <c r="G55" s="19"/>
    </row>
    <row r="56" spans="5:7" x14ac:dyDescent="0.3">
      <c r="E56" s="18"/>
      <c r="F56" s="18"/>
      <c r="G56" s="19"/>
    </row>
    <row r="57" spans="5:7" x14ac:dyDescent="0.3">
      <c r="E57" s="18"/>
      <c r="F57" s="18"/>
      <c r="G57" s="19"/>
    </row>
    <row r="58" spans="5:7" x14ac:dyDescent="0.3">
      <c r="E58" s="18"/>
      <c r="F58" s="18"/>
      <c r="G58" s="19"/>
    </row>
    <row r="59" spans="5:7" x14ac:dyDescent="0.3">
      <c r="E59" s="18"/>
      <c r="F59" s="18"/>
      <c r="G59" s="19"/>
    </row>
    <row r="60" spans="5:7" x14ac:dyDescent="0.3">
      <c r="E60" s="18"/>
      <c r="F60" s="18"/>
      <c r="G60" s="19"/>
    </row>
    <row r="61" spans="5:7" x14ac:dyDescent="0.3">
      <c r="E61" s="18"/>
      <c r="F61" s="18"/>
      <c r="G61" s="19"/>
    </row>
    <row r="62" spans="5:7" x14ac:dyDescent="0.3">
      <c r="E62" s="18"/>
      <c r="F62" s="18"/>
      <c r="G62" s="19"/>
    </row>
    <row r="63" spans="5:7" x14ac:dyDescent="0.3">
      <c r="E63" s="18"/>
      <c r="F63" s="18"/>
      <c r="G63" s="19"/>
    </row>
    <row r="64" spans="5:7" x14ac:dyDescent="0.3">
      <c r="E64" s="18"/>
      <c r="F64" s="18"/>
      <c r="G64" s="19"/>
    </row>
    <row r="65" spans="5:7" x14ac:dyDescent="0.3">
      <c r="E65" s="18"/>
      <c r="F65" s="18"/>
      <c r="G65" s="19"/>
    </row>
    <row r="66" spans="5:7" x14ac:dyDescent="0.3">
      <c r="E66" s="18"/>
      <c r="F66" s="18"/>
      <c r="G66" s="19"/>
    </row>
    <row r="67" spans="5:7" x14ac:dyDescent="0.3">
      <c r="E67" s="18"/>
      <c r="F67" s="18"/>
      <c r="G67" s="19"/>
    </row>
    <row r="68" spans="5:7" x14ac:dyDescent="0.3">
      <c r="E68" s="18"/>
      <c r="F68" s="18"/>
      <c r="G68" s="19"/>
    </row>
    <row r="69" spans="5:7" x14ac:dyDescent="0.3">
      <c r="E69" s="18"/>
      <c r="F69" s="18"/>
      <c r="G69" s="19"/>
    </row>
    <row r="70" spans="5:7" x14ac:dyDescent="0.3">
      <c r="E70" s="18"/>
      <c r="F70" s="18"/>
      <c r="G70" s="19"/>
    </row>
    <row r="71" spans="5:7" x14ac:dyDescent="0.3">
      <c r="E71" s="18"/>
      <c r="F71" s="18"/>
      <c r="G71" s="19"/>
    </row>
    <row r="72" spans="5:7" x14ac:dyDescent="0.3">
      <c r="E72" s="18"/>
      <c r="F72" s="18"/>
      <c r="G72" s="19"/>
    </row>
    <row r="73" spans="5:7" x14ac:dyDescent="0.3">
      <c r="E73" s="18"/>
      <c r="F73" s="18"/>
      <c r="G73" s="19"/>
    </row>
    <row r="74" spans="5:7" x14ac:dyDescent="0.3">
      <c r="E74" s="18"/>
      <c r="F74" s="18"/>
      <c r="G74" s="19"/>
    </row>
    <row r="75" spans="5:7" x14ac:dyDescent="0.3">
      <c r="E75" s="18"/>
      <c r="F75" s="18"/>
      <c r="G75" s="19"/>
    </row>
    <row r="76" spans="5:7" x14ac:dyDescent="0.3">
      <c r="E76" s="18"/>
      <c r="F76" s="18"/>
      <c r="G76" s="19"/>
    </row>
    <row r="77" spans="5:7" x14ac:dyDescent="0.3">
      <c r="E77" s="18"/>
      <c r="F77" s="18"/>
      <c r="G77" s="19"/>
    </row>
    <row r="78" spans="5:7" x14ac:dyDescent="0.3">
      <c r="E78" s="18"/>
      <c r="F78" s="18"/>
      <c r="G78" s="19"/>
    </row>
    <row r="79" spans="5:7" x14ac:dyDescent="0.3">
      <c r="E79" s="18"/>
      <c r="F79" s="18"/>
      <c r="G79" s="19"/>
    </row>
    <row r="80" spans="5:7" x14ac:dyDescent="0.3">
      <c r="E80" s="18"/>
      <c r="F80" s="18"/>
      <c r="G80" s="19"/>
    </row>
    <row r="81" spans="5:7" x14ac:dyDescent="0.3">
      <c r="E81" s="18"/>
      <c r="F81" s="18"/>
      <c r="G81" s="19"/>
    </row>
    <row r="82" spans="5:7" x14ac:dyDescent="0.3">
      <c r="E82" s="18"/>
      <c r="F82" s="18"/>
      <c r="G82" s="19"/>
    </row>
    <row r="83" spans="5:7" x14ac:dyDescent="0.3">
      <c r="E83" s="18"/>
      <c r="F83" s="18"/>
      <c r="G83" s="19"/>
    </row>
    <row r="84" spans="5:7" x14ac:dyDescent="0.3">
      <c r="E84" s="18"/>
      <c r="F84" s="18"/>
      <c r="G84" s="19"/>
    </row>
    <row r="85" spans="5:7" x14ac:dyDescent="0.3">
      <c r="E85" s="18"/>
      <c r="F85" s="18"/>
      <c r="G85" s="19"/>
    </row>
    <row r="86" spans="5:7" x14ac:dyDescent="0.3">
      <c r="E86" s="18"/>
      <c r="F86" s="18"/>
      <c r="G86" s="19"/>
    </row>
    <row r="87" spans="5:7" x14ac:dyDescent="0.3">
      <c r="E87" s="18"/>
      <c r="F87" s="18"/>
      <c r="G87" s="19"/>
    </row>
    <row r="88" spans="5:7" x14ac:dyDescent="0.3">
      <c r="E88" s="18"/>
      <c r="F88" s="18"/>
      <c r="G88" s="19"/>
    </row>
    <row r="89" spans="5:7" x14ac:dyDescent="0.3">
      <c r="E89" s="18"/>
      <c r="F89" s="18"/>
      <c r="G89" s="19"/>
    </row>
    <row r="90" spans="5:7" x14ac:dyDescent="0.3">
      <c r="E90" s="18"/>
      <c r="F90" s="18"/>
      <c r="G90" s="19"/>
    </row>
    <row r="91" spans="5:7" x14ac:dyDescent="0.3">
      <c r="E91" s="18"/>
      <c r="F91" s="18"/>
      <c r="G91" s="19"/>
    </row>
    <row r="92" spans="5:7" x14ac:dyDescent="0.3">
      <c r="E92" s="18"/>
      <c r="F92" s="18"/>
      <c r="G92" s="19"/>
    </row>
    <row r="93" spans="5:7" x14ac:dyDescent="0.3">
      <c r="E93" s="18"/>
      <c r="F93" s="18"/>
      <c r="G93" s="19"/>
    </row>
    <row r="94" spans="5:7" x14ac:dyDescent="0.3">
      <c r="E94" s="18"/>
      <c r="F94" s="18"/>
      <c r="G94" s="19"/>
    </row>
    <row r="95" spans="5:7" x14ac:dyDescent="0.3">
      <c r="E95" s="18"/>
      <c r="F95" s="18"/>
      <c r="G95" s="19"/>
    </row>
    <row r="96" spans="5:7" x14ac:dyDescent="0.3">
      <c r="E96" s="18"/>
      <c r="F96" s="18"/>
      <c r="G96" s="19"/>
    </row>
    <row r="97" spans="5:7" x14ac:dyDescent="0.3">
      <c r="E97" s="18"/>
      <c r="F97" s="18"/>
      <c r="G97" s="19"/>
    </row>
    <row r="98" spans="5:7" x14ac:dyDescent="0.3">
      <c r="E98" s="18"/>
      <c r="F98" s="18"/>
      <c r="G98" s="19"/>
    </row>
    <row r="99" spans="5:7" x14ac:dyDescent="0.3">
      <c r="E99" s="18"/>
      <c r="F99" s="18"/>
      <c r="G99" s="19"/>
    </row>
    <row r="100" spans="5:7" x14ac:dyDescent="0.3">
      <c r="E100" s="18"/>
      <c r="F100" s="18"/>
      <c r="G100" s="19"/>
    </row>
    <row r="101" spans="5:7" x14ac:dyDescent="0.3">
      <c r="E101" s="18"/>
      <c r="F101" s="18"/>
      <c r="G101" s="19"/>
    </row>
    <row r="102" spans="5:7" x14ac:dyDescent="0.3">
      <c r="E102" s="18"/>
      <c r="F102" s="18"/>
      <c r="G102" s="19"/>
    </row>
    <row r="103" spans="5:7" x14ac:dyDescent="0.3">
      <c r="E103" s="18"/>
      <c r="F103" s="18"/>
      <c r="G103" s="19"/>
    </row>
    <row r="104" spans="5:7" x14ac:dyDescent="0.3">
      <c r="E104" s="18"/>
      <c r="F104" s="18"/>
      <c r="G104" s="19"/>
    </row>
    <row r="105" spans="5:7" x14ac:dyDescent="0.3">
      <c r="E105" s="18"/>
      <c r="F105" s="18"/>
      <c r="G105" s="19"/>
    </row>
    <row r="106" spans="5:7" x14ac:dyDescent="0.3">
      <c r="E106" s="18"/>
      <c r="F106" s="18"/>
      <c r="G106" s="19"/>
    </row>
    <row r="107" spans="5:7" x14ac:dyDescent="0.3">
      <c r="G107" s="19"/>
    </row>
    <row r="108" spans="5:7" x14ac:dyDescent="0.3">
      <c r="G108" s="19"/>
    </row>
    <row r="109" spans="5:7" x14ac:dyDescent="0.3">
      <c r="G109" s="19"/>
    </row>
    <row r="110" spans="5:7" x14ac:dyDescent="0.3">
      <c r="G110" s="19"/>
    </row>
    <row r="111" spans="5:7" x14ac:dyDescent="0.3">
      <c r="G111" s="19"/>
    </row>
    <row r="112" spans="5:7" x14ac:dyDescent="0.3">
      <c r="G112" s="19"/>
    </row>
    <row r="113" spans="7:7" x14ac:dyDescent="0.3">
      <c r="G113" s="19"/>
    </row>
    <row r="114" spans="7:7" x14ac:dyDescent="0.3">
      <c r="G114" s="19"/>
    </row>
    <row r="115" spans="7:7" x14ac:dyDescent="0.3">
      <c r="G115" s="19"/>
    </row>
    <row r="116" spans="7:7" x14ac:dyDescent="0.3">
      <c r="G116" s="19"/>
    </row>
    <row r="117" spans="7:7" x14ac:dyDescent="0.3">
      <c r="G117" s="19"/>
    </row>
    <row r="118" spans="7:7" x14ac:dyDescent="0.3">
      <c r="G118" s="19"/>
    </row>
    <row r="119" spans="7:7" x14ac:dyDescent="0.3">
      <c r="G119" s="19"/>
    </row>
    <row r="120" spans="7:7" x14ac:dyDescent="0.3">
      <c r="G120" s="19"/>
    </row>
    <row r="121" spans="7:7" x14ac:dyDescent="0.3">
      <c r="G121" s="19"/>
    </row>
    <row r="122" spans="7:7" x14ac:dyDescent="0.3">
      <c r="G122" s="19"/>
    </row>
    <row r="123" spans="7:7" x14ac:dyDescent="0.3">
      <c r="G123" s="19"/>
    </row>
    <row r="124" spans="7:7" x14ac:dyDescent="0.3">
      <c r="G124" s="19"/>
    </row>
    <row r="125" spans="7:7" x14ac:dyDescent="0.3">
      <c r="G125" s="19"/>
    </row>
    <row r="126" spans="7:7" x14ac:dyDescent="0.3">
      <c r="G126" s="19"/>
    </row>
    <row r="127" spans="7:7" x14ac:dyDescent="0.3">
      <c r="G127" s="19"/>
    </row>
    <row r="128" spans="7:7" x14ac:dyDescent="0.3">
      <c r="G128" s="19"/>
    </row>
    <row r="129" spans="7:7" x14ac:dyDescent="0.3">
      <c r="G129" s="19"/>
    </row>
    <row r="130" spans="7:7" x14ac:dyDescent="0.3">
      <c r="G130" s="19"/>
    </row>
    <row r="131" spans="7:7" x14ac:dyDescent="0.3">
      <c r="G131" s="19"/>
    </row>
    <row r="132" spans="7:7" x14ac:dyDescent="0.3">
      <c r="G132" s="19"/>
    </row>
    <row r="133" spans="7:7" x14ac:dyDescent="0.3">
      <c r="G133" s="19"/>
    </row>
    <row r="134" spans="7:7" x14ac:dyDescent="0.3">
      <c r="G134" s="19"/>
    </row>
    <row r="135" spans="7:7" x14ac:dyDescent="0.3">
      <c r="G135" s="19"/>
    </row>
    <row r="136" spans="7:7" x14ac:dyDescent="0.3">
      <c r="G136" s="19"/>
    </row>
    <row r="137" spans="7:7" x14ac:dyDescent="0.3">
      <c r="G137" s="19"/>
    </row>
    <row r="138" spans="7:7" x14ac:dyDescent="0.3">
      <c r="G138" s="19"/>
    </row>
  </sheetData>
  <dataValidations count="1">
    <dataValidation type="list" allowBlank="1" showInputMessage="1" showErrorMessage="1" sqref="E2:F2 E3:E10 F3:F16" xr:uid="{8DF3EE73-FBBC-44E3-BB1A-31A8CADF82F7}">
      <formula1>Actions</formula1>
    </dataValidation>
  </dataValidations>
  <pageMargins left="0.7" right="0.7" top="0.75" bottom="0.75" header="0.3" footer="0.3"/>
  <pageSetup orientation="portrait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68F92-F9B9-435D-BA05-D6D70ADAA264}">
  <dimension ref="A2:B36"/>
  <sheetViews>
    <sheetView workbookViewId="0">
      <selection activeCell="B4" sqref="B4:B36"/>
    </sheetView>
  </sheetViews>
  <sheetFormatPr defaultRowHeight="15.75" x14ac:dyDescent="0.3"/>
  <cols>
    <col min="1" max="1" width="19.5546875" bestFit="1" customWidth="1"/>
    <col min="2" max="2" width="59.6640625" style="2" bestFit="1" customWidth="1"/>
  </cols>
  <sheetData>
    <row r="2" spans="1:2" ht="41.25" thickBot="1" x14ac:dyDescent="0.4">
      <c r="A2" s="24" t="s">
        <v>91</v>
      </c>
      <c r="B2" s="25" t="str">
        <f>_xlfn.CONCAT(Code!B2, 'Table Builder'!B1, Code!C2, 'Table Builder'!D1:H1, Code!D2, 'Table Builder'!D2:H4,Code!E2)</f>
        <v>EXEC DD.TableAddComment '.', '';</v>
      </c>
    </row>
    <row r="3" spans="1:2" ht="16.5" thickTop="1" x14ac:dyDescent="0.3"/>
    <row r="4" spans="1:2" ht="81.75" thickBot="1" x14ac:dyDescent="0.4">
      <c r="A4" s="27" t="s">
        <v>92</v>
      </c>
      <c r="B4" s="2" t="str">
        <f>IF(NOT(ISBLANK('Table Builder'!A8)),IF(NOT(ISBLANK('Table Builder'!J8)),_xlfn.CONCAT(Code!$B$3,'Table Builder'!$B$1,Code!$C$3,'Table Builder'!$D$1:$H$1,Code!$D$3,'Table Builder'!A8,Code!$E$3,'Table Builder'!J8,Code!$F$3),""), "")</f>
        <v/>
      </c>
    </row>
    <row r="5" spans="1:2" ht="16.5" thickTop="1" x14ac:dyDescent="0.3">
      <c r="B5" s="2" t="str">
        <f>IF(NOT(ISBLANK('Table Builder'!A9)),IF(NOT(ISBLANK('Table Builder'!J9)),_xlfn.CONCAT(Code!$B$3,'Table Builder'!$B$1,Code!$C$3,'Table Builder'!$D$1:$H$1,Code!$D$3,'Table Builder'!A9,Code!$E$3,'Table Builder'!J9,Code!$F$3),""), "")</f>
        <v/>
      </c>
    </row>
    <row r="6" spans="1:2" x14ac:dyDescent="0.3">
      <c r="B6" s="2" t="str">
        <f>IF(NOT(ISBLANK('Table Builder'!A10)),IF(NOT(ISBLANK('Table Builder'!J10)),_xlfn.CONCAT(Code!$B$3,'Table Builder'!$B$1,Code!$C$3,'Table Builder'!$D$1:$H$1,Code!$D$3,'Table Builder'!A10,Code!$E$3,'Table Builder'!J10,Code!$F$3),""), "")</f>
        <v/>
      </c>
    </row>
    <row r="7" spans="1:2" x14ac:dyDescent="0.3">
      <c r="B7" s="2" t="str">
        <f>IF(NOT(ISBLANK('Table Builder'!A11)),IF(NOT(ISBLANK('Table Builder'!J11)),_xlfn.CONCAT(Code!$B$3,'Table Builder'!$B$1,Code!$C$3,'Table Builder'!$D$1:$H$1,Code!$D$3,'Table Builder'!A11,Code!$E$3,'Table Builder'!J11,Code!$F$3),""), "")</f>
        <v/>
      </c>
    </row>
    <row r="8" spans="1:2" x14ac:dyDescent="0.3">
      <c r="B8" s="2" t="str">
        <f>IF(NOT(ISBLANK('Table Builder'!A12)),IF(NOT(ISBLANK('Table Builder'!J12)),_xlfn.CONCAT(Code!$B$3,'Table Builder'!$B$1,Code!$C$3,'Table Builder'!$D$1:$H$1,Code!$D$3,'Table Builder'!A12,Code!$E$3,'Table Builder'!J12,Code!$F$3),""), "")</f>
        <v/>
      </c>
    </row>
    <row r="9" spans="1:2" x14ac:dyDescent="0.3">
      <c r="B9" s="2" t="str">
        <f>IF(NOT(ISBLANK('Table Builder'!A13)),IF(NOT(ISBLANK('Table Builder'!J13)),_xlfn.CONCAT(Code!$B$3,'Table Builder'!$B$1,Code!$C$3,'Table Builder'!$D$1:$H$1,Code!$D$3,'Table Builder'!A13,Code!$E$3,'Table Builder'!J13,Code!$F$3),""), "")</f>
        <v/>
      </c>
    </row>
    <row r="10" spans="1:2" x14ac:dyDescent="0.3">
      <c r="B10" s="2" t="str">
        <f>IF(NOT(ISBLANK('Table Builder'!A14)),IF(NOT(ISBLANK('Table Builder'!J14)),_xlfn.CONCAT(Code!$B$3,'Table Builder'!$B$1,Code!$C$3,'Table Builder'!$D$1:$H$1,Code!$D$3,'Table Builder'!A14,Code!$E$3,'Table Builder'!J14,Code!$F$3),""), "")</f>
        <v/>
      </c>
    </row>
    <row r="11" spans="1:2" x14ac:dyDescent="0.3">
      <c r="B11" s="2" t="str">
        <f>IF(NOT(ISBLANK('Table Builder'!A15)),IF(NOT(ISBLANK('Table Builder'!J15)),_xlfn.CONCAT(Code!$B$3,'Table Builder'!$B$1,Code!$C$3,'Table Builder'!$D$1:$H$1,Code!$D$3,'Table Builder'!A15,Code!$E$3,'Table Builder'!J15,Code!$F$3),""), "")</f>
        <v/>
      </c>
    </row>
    <row r="12" spans="1:2" x14ac:dyDescent="0.3">
      <c r="B12" s="2" t="str">
        <f>IF(NOT(ISBLANK('Table Builder'!A16)),IF(NOT(ISBLANK('Table Builder'!J16)),_xlfn.CONCAT(Code!$B$3,'Table Builder'!$B$1,Code!$C$3,'Table Builder'!$D$1:$H$1,Code!$D$3,'Table Builder'!A16,Code!$E$3,'Table Builder'!J16,Code!$F$3),""), "")</f>
        <v/>
      </c>
    </row>
    <row r="13" spans="1:2" x14ac:dyDescent="0.3">
      <c r="B13" s="2" t="str">
        <f>IF(NOT(ISBLANK('Table Builder'!A17)),IF(NOT(ISBLANK('Table Builder'!J17)),_xlfn.CONCAT(Code!$B$3,'Table Builder'!$B$1,Code!$C$3,'Table Builder'!$D$1:$H$1,Code!$D$3,'Table Builder'!A17,Code!$E$3,'Table Builder'!J17,Code!$F$3),""), "")</f>
        <v/>
      </c>
    </row>
    <row r="14" spans="1:2" x14ac:dyDescent="0.3">
      <c r="B14" s="2" t="str">
        <f>IF(NOT(ISBLANK('Table Builder'!A18)),IF(NOT(ISBLANK('Table Builder'!J18)),_xlfn.CONCAT(Code!$B$3,'Table Builder'!$B$1,Code!$C$3,'Table Builder'!$D$1:$H$1,Code!$D$3,'Table Builder'!A18,Code!$E$3,'Table Builder'!J18,Code!$F$3),""), "")</f>
        <v/>
      </c>
    </row>
    <row r="15" spans="1:2" x14ac:dyDescent="0.3">
      <c r="B15" s="2" t="str">
        <f>IF(NOT(ISBLANK('Table Builder'!A19)),IF(NOT(ISBLANK('Table Builder'!J19)),_xlfn.CONCAT(Code!$B$3,'Table Builder'!$B$1,Code!$C$3,'Table Builder'!$D$1:$H$1,Code!$D$3,'Table Builder'!A19,Code!$E$3,'Table Builder'!J19,Code!$F$3),""), "")</f>
        <v/>
      </c>
    </row>
    <row r="16" spans="1:2" x14ac:dyDescent="0.3">
      <c r="B16" s="2" t="str">
        <f>IF(NOT(ISBLANK('Table Builder'!A20)),IF(NOT(ISBLANK('Table Builder'!J20)),_xlfn.CONCAT(Code!$B$3,'Table Builder'!$B$1,Code!$C$3,'Table Builder'!$D$1:$H$1,Code!$D$3,'Table Builder'!A20,Code!$E$3,'Table Builder'!J20,Code!$F$3),""), "")</f>
        <v/>
      </c>
    </row>
    <row r="17" spans="2:2" x14ac:dyDescent="0.3">
      <c r="B17" s="2" t="str">
        <f>IF(NOT(ISBLANK('Table Builder'!A21)),IF(NOT(ISBLANK('Table Builder'!J21)),_xlfn.CONCAT(Code!$B$3,'Table Builder'!$B$1,Code!$C$3,'Table Builder'!$D$1:$H$1,Code!$D$3,'Table Builder'!A21,Code!$E$3,'Table Builder'!J21,Code!$F$3),""), "")</f>
        <v/>
      </c>
    </row>
    <row r="18" spans="2:2" x14ac:dyDescent="0.3">
      <c r="B18" s="2" t="str">
        <f>IF(NOT(ISBLANK('Table Builder'!A22)),IF(NOT(ISBLANK('Table Builder'!J22)),_xlfn.CONCAT(Code!$B$3,'Table Builder'!$B$1,Code!$C$3,'Table Builder'!$D$1:$H$1,Code!$D$3,'Table Builder'!A22,Code!$E$3,'Table Builder'!J22,Code!$F$3),""), "")</f>
        <v/>
      </c>
    </row>
    <row r="19" spans="2:2" x14ac:dyDescent="0.3">
      <c r="B19" s="2" t="str">
        <f>IF(NOT(ISBLANK('Table Builder'!A23)),IF(NOT(ISBLANK('Table Builder'!J23)),_xlfn.CONCAT(Code!$B$3,'Table Builder'!$B$1,Code!$C$3,'Table Builder'!$D$1:$H$1,Code!$D$3,'Table Builder'!A23,Code!$E$3,'Table Builder'!J23,Code!$F$3),""), "")</f>
        <v/>
      </c>
    </row>
    <row r="20" spans="2:2" x14ac:dyDescent="0.3">
      <c r="B20" s="2" t="str">
        <f>IF(NOT(ISBLANK('Table Builder'!A24)),IF(NOT(ISBLANK('Table Builder'!J24)),_xlfn.CONCAT(Code!$B$3,'Table Builder'!$B$1,Code!$C$3,'Table Builder'!$D$1:$H$1,Code!$D$3,'Table Builder'!A24,Code!$E$3,'Table Builder'!J24,Code!$F$3),""), "")</f>
        <v/>
      </c>
    </row>
    <row r="21" spans="2:2" x14ac:dyDescent="0.3">
      <c r="B21" s="2" t="str">
        <f>IF(NOT(ISBLANK('Table Builder'!A25)),IF(NOT(ISBLANK('Table Builder'!J25)),_xlfn.CONCAT(Code!$B$3,'Table Builder'!$B$1,Code!$C$3,'Table Builder'!$D$1:$H$1,Code!$D$3,'Table Builder'!A25,Code!$E$3,'Table Builder'!J25,Code!$F$3),""), "")</f>
        <v/>
      </c>
    </row>
    <row r="22" spans="2:2" x14ac:dyDescent="0.3">
      <c r="B22" s="2" t="str">
        <f>IF(NOT(ISBLANK('Table Builder'!A26)),IF(NOT(ISBLANK('Table Builder'!J26)),_xlfn.CONCAT(Code!$B$3,'Table Builder'!$B$1,Code!$C$3,'Table Builder'!$D$1:$H$1,Code!$D$3,'Table Builder'!A26,Code!$E$3,'Table Builder'!J26,Code!$F$3),""), "")</f>
        <v/>
      </c>
    </row>
    <row r="23" spans="2:2" x14ac:dyDescent="0.3">
      <c r="B23" s="2" t="str">
        <f>IF(NOT(ISBLANK('Table Builder'!A27)),IF(NOT(ISBLANK('Table Builder'!J27)),_xlfn.CONCAT(Code!$B$3,'Table Builder'!$B$1,Code!$C$3,'Table Builder'!$D$1:$H$1,Code!$D$3,'Table Builder'!A27,Code!$E$3,'Table Builder'!J27,Code!$F$3),""), "")</f>
        <v/>
      </c>
    </row>
    <row r="24" spans="2:2" x14ac:dyDescent="0.3">
      <c r="B24" s="2" t="str">
        <f>IF(NOT(ISBLANK('Table Builder'!A28)),IF(NOT(ISBLANK('Table Builder'!J28)),_xlfn.CONCAT(Code!$B$3,'Table Builder'!$B$1,Code!$C$3,'Table Builder'!$D$1:$H$1,Code!$D$3,'Table Builder'!A28,Code!$E$3,'Table Builder'!J28,Code!$F$3),""), "")</f>
        <v/>
      </c>
    </row>
    <row r="25" spans="2:2" x14ac:dyDescent="0.3">
      <c r="B25" s="2" t="str">
        <f>IF(NOT(ISBLANK('Table Builder'!A29)),IF(NOT(ISBLANK('Table Builder'!J29)),_xlfn.CONCAT(Code!$B$3,'Table Builder'!$B$1,Code!$C$3,'Table Builder'!$D$1:$H$1,Code!$D$3,'Table Builder'!A29,Code!$E$3,'Table Builder'!J29,Code!$F$3),""), "")</f>
        <v/>
      </c>
    </row>
    <row r="26" spans="2:2" x14ac:dyDescent="0.3">
      <c r="B26" s="2" t="str">
        <f>IF(NOT(ISBLANK('Table Builder'!A30)),IF(NOT(ISBLANK('Table Builder'!J30)),_xlfn.CONCAT(Code!$B$3,'Table Builder'!$B$1,Code!$C$3,'Table Builder'!$D$1:$H$1,Code!$D$3,'Table Builder'!A30,Code!$E$3,'Table Builder'!J30,Code!$F$3),""), "")</f>
        <v/>
      </c>
    </row>
    <row r="27" spans="2:2" x14ac:dyDescent="0.3">
      <c r="B27" s="2" t="str">
        <f>IF(NOT(ISBLANK('Table Builder'!A31)),IF(NOT(ISBLANK('Table Builder'!J31)),_xlfn.CONCAT(Code!$B$3,'Table Builder'!$B$1,Code!$C$3,'Table Builder'!$D$1:$H$1,Code!$D$3,'Table Builder'!A31,Code!$E$3,'Table Builder'!J31,Code!$F$3),""), "")</f>
        <v/>
      </c>
    </row>
    <row r="28" spans="2:2" x14ac:dyDescent="0.3">
      <c r="B28" s="2" t="str">
        <f>IF(NOT(ISBLANK('Table Builder'!A32)),IF(NOT(ISBLANK('Table Builder'!J32)),_xlfn.CONCAT(Code!$B$3,'Table Builder'!$B$1,Code!$C$3,'Table Builder'!$D$1:$H$1,Code!$D$3,'Table Builder'!A32,Code!$E$3,'Table Builder'!J32,Code!$F$3),""), "")</f>
        <v/>
      </c>
    </row>
    <row r="29" spans="2:2" x14ac:dyDescent="0.3">
      <c r="B29" s="2" t="str">
        <f>IF(NOT(ISBLANK('Table Builder'!A33)),IF(NOT(ISBLANK('Table Builder'!J33)),_xlfn.CONCAT(Code!$B$3,'Table Builder'!$B$1,Code!$C$3,'Table Builder'!$D$1:$H$1,Code!$D$3,'Table Builder'!A33,Code!$E$3,'Table Builder'!J33,Code!$F$3),""), "")</f>
        <v/>
      </c>
    </row>
    <row r="30" spans="2:2" x14ac:dyDescent="0.3">
      <c r="B30" s="2" t="str">
        <f>IF(NOT(ISBLANK('Table Builder'!A34)),IF(NOT(ISBLANK('Table Builder'!J34)),_xlfn.CONCAT(Code!$B$3,'Table Builder'!$B$1,Code!$C$3,'Table Builder'!$D$1:$H$1,Code!$D$3,'Table Builder'!A34,Code!$E$3,'Table Builder'!J34,Code!$F$3),""), "")</f>
        <v/>
      </c>
    </row>
    <row r="31" spans="2:2" x14ac:dyDescent="0.3">
      <c r="B31" s="2" t="str">
        <f>IF(NOT(ISBLANK('Table Builder'!A35)),IF(NOT(ISBLANK('Table Builder'!J35)),_xlfn.CONCAT(Code!$B$3,'Table Builder'!$B$1,Code!$C$3,'Table Builder'!$D$1:$H$1,Code!$D$3,'Table Builder'!A35,Code!$E$3,'Table Builder'!J35,Code!$F$3),""), "")</f>
        <v/>
      </c>
    </row>
    <row r="32" spans="2:2" x14ac:dyDescent="0.3">
      <c r="B32" s="2" t="str">
        <f>IF(NOT(ISBLANK('Table Builder'!A36)),IF(NOT(ISBLANK('Table Builder'!J36)),_xlfn.CONCAT(Code!$B$3,'Table Builder'!$B$1,Code!$C$3,'Table Builder'!$D$1:$H$1,Code!$D$3,'Table Builder'!A36,Code!$E$3,'Table Builder'!J36,Code!$F$3),""), "")</f>
        <v/>
      </c>
    </row>
    <row r="33" spans="2:2" x14ac:dyDescent="0.3">
      <c r="B33" s="2" t="str">
        <f>IF(NOT(ISBLANK('Table Builder'!A37)),IF(NOT(ISBLANK('Table Builder'!J37)),_xlfn.CONCAT(Code!$B$3,'Table Builder'!$B$1,Code!$C$3,'Table Builder'!$D$1:$H$1,Code!$D$3,'Table Builder'!A37,Code!$E$3,'Table Builder'!J37,Code!$F$3),""), "")</f>
        <v/>
      </c>
    </row>
    <row r="34" spans="2:2" x14ac:dyDescent="0.3">
      <c r="B34" s="2" t="str">
        <f>IF(NOT(ISBLANK('Table Builder'!A38)),IF(NOT(ISBLANK('Table Builder'!J38)),_xlfn.CONCAT(Code!$B$3,'Table Builder'!$B$1,Code!$C$3,'Table Builder'!$D$1:$H$1,Code!$D$3,'Table Builder'!A38,Code!$E$3,'Table Builder'!J38,Code!$F$3),""), "")</f>
        <v/>
      </c>
    </row>
    <row r="35" spans="2:2" x14ac:dyDescent="0.3">
      <c r="B35" s="2" t="str">
        <f>IF(NOT(ISBLANK('Table Builder'!A39)),IF(NOT(ISBLANK('Table Builder'!J39)),_xlfn.CONCAT(Code!$B$3,'Table Builder'!$B$1,Code!$C$3,'Table Builder'!$D$1:$H$1,Code!$D$3,'Table Builder'!A39,Code!$E$3,'Table Builder'!J39,Code!$F$3),""), "")</f>
        <v/>
      </c>
    </row>
    <row r="36" spans="2:2" x14ac:dyDescent="0.3">
      <c r="B36" s="2" t="str">
        <f>IF(NOT(ISBLANK('Table Builder'!A40)),IF(NOT(ISBLANK('Table Builder'!J40)),_xlfn.CONCAT(Code!$B$3,'Table Builder'!$B$1,Code!$C$3,'Table Builder'!$D$1:$H$1,Code!$D$3,'Table Builder'!A40,Code!$E$3,'Table Builder'!J40,Code!$F$3),""), 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1E4B2-12BD-4F6D-902B-9C86174FD981}">
  <dimension ref="A1:I14"/>
  <sheetViews>
    <sheetView workbookViewId="0">
      <selection activeCell="A5" sqref="A5"/>
    </sheetView>
  </sheetViews>
  <sheetFormatPr defaultRowHeight="15.75" x14ac:dyDescent="0.3"/>
  <cols>
    <col min="1" max="1" width="20.33203125" customWidth="1"/>
  </cols>
  <sheetData>
    <row r="1" spans="1:9" x14ac:dyDescent="0.3">
      <c r="A1" t="s">
        <v>9</v>
      </c>
      <c r="B1" t="s">
        <v>23</v>
      </c>
      <c r="C1" t="s">
        <v>28</v>
      </c>
      <c r="G1" t="s">
        <v>47</v>
      </c>
      <c r="I1" t="s">
        <v>48</v>
      </c>
    </row>
    <row r="2" spans="1:9" x14ac:dyDescent="0.3">
      <c r="A2" t="s">
        <v>20</v>
      </c>
      <c r="B2" t="s">
        <v>24</v>
      </c>
      <c r="C2" t="s">
        <v>29</v>
      </c>
      <c r="G2" t="s">
        <v>12</v>
      </c>
      <c r="I2" t="s">
        <v>20</v>
      </c>
    </row>
    <row r="3" spans="1:9" x14ac:dyDescent="0.3">
      <c r="A3" t="s">
        <v>22</v>
      </c>
      <c r="B3" t="s">
        <v>25</v>
      </c>
      <c r="C3" t="s">
        <v>30</v>
      </c>
      <c r="G3" t="s">
        <v>11</v>
      </c>
      <c r="I3" t="s">
        <v>16</v>
      </c>
    </row>
    <row r="4" spans="1:9" x14ac:dyDescent="0.3">
      <c r="A4" t="s">
        <v>16</v>
      </c>
      <c r="I4" t="s">
        <v>18</v>
      </c>
    </row>
    <row r="5" spans="1:9" x14ac:dyDescent="0.3">
      <c r="A5" t="s">
        <v>13</v>
      </c>
      <c r="I5" t="s">
        <v>19</v>
      </c>
    </row>
    <row r="6" spans="1:9" x14ac:dyDescent="0.3">
      <c r="A6" t="s">
        <v>15</v>
      </c>
      <c r="I6" t="s">
        <v>21</v>
      </c>
    </row>
    <row r="7" spans="1:9" x14ac:dyDescent="0.3">
      <c r="A7" t="s">
        <v>12</v>
      </c>
      <c r="I7" t="s">
        <v>17</v>
      </c>
    </row>
    <row r="8" spans="1:9" x14ac:dyDescent="0.3">
      <c r="A8" t="s">
        <v>11</v>
      </c>
    </row>
    <row r="9" spans="1:9" x14ac:dyDescent="0.3">
      <c r="A9" t="s">
        <v>10</v>
      </c>
    </row>
    <row r="10" spans="1:9" x14ac:dyDescent="0.3">
      <c r="A10" t="s">
        <v>18</v>
      </c>
    </row>
    <row r="11" spans="1:9" x14ac:dyDescent="0.3">
      <c r="A11" t="s">
        <v>19</v>
      </c>
    </row>
    <row r="12" spans="1:9" x14ac:dyDescent="0.3">
      <c r="A12" t="s">
        <v>14</v>
      </c>
    </row>
    <row r="13" spans="1:9" x14ac:dyDescent="0.3">
      <c r="A13" t="s">
        <v>21</v>
      </c>
    </row>
    <row r="14" spans="1:9" x14ac:dyDescent="0.3">
      <c r="A14" t="s">
        <v>17</v>
      </c>
    </row>
  </sheetData>
  <autoFilter ref="A1:A14" xr:uid="{C612C6CA-1D91-44E3-A3A6-45BE34B122FA}">
    <sortState xmlns:xlrd2="http://schemas.microsoft.com/office/spreadsheetml/2017/richdata2" ref="A2:A14">
      <sortCondition ref="A1:A14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8C2CD-654F-4691-9B93-C8603CD2A361}">
  <dimension ref="A1:B3"/>
  <sheetViews>
    <sheetView workbookViewId="0">
      <selection activeCell="B3" sqref="B3"/>
    </sheetView>
  </sheetViews>
  <sheetFormatPr defaultRowHeight="15.75" x14ac:dyDescent="0.3"/>
  <sheetData>
    <row r="1" spans="1:2" x14ac:dyDescent="0.3">
      <c r="A1" t="s">
        <v>67</v>
      </c>
      <c r="B1" t="s">
        <v>68</v>
      </c>
    </row>
    <row r="2" spans="1:2" x14ac:dyDescent="0.3">
      <c r="A2" t="s">
        <v>69</v>
      </c>
      <c r="B2" t="str">
        <f>CHAR(9)&amp;CHAR(9)&amp;CHAR(9)</f>
        <v xml:space="preserve">			</v>
      </c>
    </row>
    <row r="3" spans="1:2" x14ac:dyDescent="0.3">
      <c r="A3" t="s">
        <v>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F40A4-C0ED-4D37-AF48-A35D605E6647}">
  <dimension ref="A1:F4"/>
  <sheetViews>
    <sheetView workbookViewId="0">
      <selection activeCell="C5" sqref="C5"/>
    </sheetView>
  </sheetViews>
  <sheetFormatPr defaultRowHeight="15.75" x14ac:dyDescent="0.3"/>
  <cols>
    <col min="1" max="1" width="16.88671875" bestFit="1" customWidth="1"/>
  </cols>
  <sheetData>
    <row r="1" spans="1:6" x14ac:dyDescent="0.3">
      <c r="A1" t="s">
        <v>58</v>
      </c>
    </row>
    <row r="2" spans="1:6" x14ac:dyDescent="0.3">
      <c r="A2" t="s">
        <v>56</v>
      </c>
      <c r="B2" t="s">
        <v>53</v>
      </c>
      <c r="C2" t="s">
        <v>60</v>
      </c>
      <c r="D2" s="13" t="s">
        <v>54</v>
      </c>
      <c r="E2" s="13" t="s">
        <v>55</v>
      </c>
    </row>
    <row r="3" spans="1:6" x14ac:dyDescent="0.3">
      <c r="A3" t="s">
        <v>57</v>
      </c>
      <c r="B3" t="s">
        <v>59</v>
      </c>
      <c r="C3" t="s">
        <v>60</v>
      </c>
      <c r="D3" s="13" t="s">
        <v>54</v>
      </c>
      <c r="E3" s="13" t="s">
        <v>54</v>
      </c>
      <c r="F3" s="13" t="s">
        <v>55</v>
      </c>
    </row>
    <row r="4" spans="1:6" x14ac:dyDescent="0.3">
      <c r="A4" t="s">
        <v>89</v>
      </c>
      <c r="B4" t="s">
        <v>60</v>
      </c>
      <c r="C4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41E57A7495724C96A18CB15A4692F0" ma:contentTypeVersion="11" ma:contentTypeDescription="Create a new document." ma:contentTypeScope="" ma:versionID="ee5083a161fdc531d7416d0c00680b0b">
  <xsd:schema xmlns:xsd="http://www.w3.org/2001/XMLSchema" xmlns:xs="http://www.w3.org/2001/XMLSchema" xmlns:p="http://schemas.microsoft.com/office/2006/metadata/properties" xmlns:ns2="67d2b6d2-91dc-48a5-b6f9-f5fb47c14833" xmlns:ns3="b22d9d4a-b4cb-417b-9c97-5883ba38bef8" targetNamespace="http://schemas.microsoft.com/office/2006/metadata/properties" ma:root="true" ma:fieldsID="fd808ed7d0b91b35090dff8c69ed842d" ns2:_="" ns3:_="">
    <xsd:import namespace="67d2b6d2-91dc-48a5-b6f9-f5fb47c14833"/>
    <xsd:import namespace="b22d9d4a-b4cb-417b-9c97-5883ba38be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2b6d2-91dc-48a5-b6f9-f5fb47c148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2d9d4a-b4cb-417b-9c97-5883ba38bef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499BAB1-07C3-49FD-9424-9C27CBB09F4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D9CCB5-F0E8-44F0-BE75-91F33FC1B8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2b6d2-91dc-48a5-b6f9-f5fb47c14833"/>
    <ds:schemaRef ds:uri="b22d9d4a-b4cb-417b-9c97-5883ba38be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18BCE-A5ED-4D53-AAEB-76A2647C97F4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Instructions</vt:lpstr>
      <vt:lpstr>Table Builder</vt:lpstr>
      <vt:lpstr>For Babler, Ignore</vt:lpstr>
      <vt:lpstr>FK Maker</vt:lpstr>
      <vt:lpstr>DataDictionaryBuilder</vt:lpstr>
      <vt:lpstr>Lists</vt:lpstr>
      <vt:lpstr>Utilities</vt:lpstr>
      <vt:lpstr>Code</vt:lpstr>
      <vt:lpstr>AcceptableDataTypes</vt:lpstr>
      <vt:lpstr>Actions</vt:lpstr>
      <vt:lpstr>NULLOK</vt:lpstr>
      <vt:lpstr>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Babler</dc:creator>
  <cp:lastModifiedBy>Dave Babler</cp:lastModifiedBy>
  <dcterms:created xsi:type="dcterms:W3CDTF">2021-02-11T14:41:08Z</dcterms:created>
  <dcterms:modified xsi:type="dcterms:W3CDTF">2021-12-06T19:38:27Z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0x0101001C41E57A7495724C96A18CB15A4692F0</vt:lpwstr>
  </property>
</Properties>
</file>